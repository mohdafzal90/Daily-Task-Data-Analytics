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OOKUP &amp; X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641E16"/>
        <bgColor rgb="00641E16"/>
      </patternFill>
    </fill>
    <fill>
      <patternFill patternType="solid">
        <fgColor rgb="0078281F"/>
        <bgColor rgb="0078281F"/>
      </patternFill>
    </fill>
    <fill>
      <patternFill patternType="solid">
        <fgColor rgb="00FDEDEC"/>
        <bgColor rgb="00FDEDEC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9" fontId="0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9" customWidth="1" min="3" max="3"/>
    <col width="15" customWidth="1" min="4" max="4"/>
    <col width="19" customWidth="1" min="5" max="5"/>
    <col width="20" customWidth="1" min="6" max="6"/>
    <col width="36" customWidth="1" min="7" max="7"/>
    <col width="18" customWidth="1" min="8" max="8"/>
  </cols>
  <sheetData>
    <row r="1"/>
    <row r="2" ht="30" customHeight="1">
      <c r="B2" s="1" t="inlineStr">
        <is>
          <t xml:space="preserve">  DAY 6: LOOKUP FUNCTIONS (VLOOKUP, INDEX-MATCH, XLOOKUP)</t>
        </is>
      </c>
    </row>
    <row r="3" ht="20" customHeight="1">
      <c r="B3" s="2" t="inlineStr">
        <is>
          <t xml:space="preserve">  Connecting datasets, retrieving metadata dynamically, and rating-to-bonus mapping tables.</t>
        </is>
      </c>
    </row>
    <row r="4"/>
    <row r="5" ht="24" customHeight="1">
      <c r="B5" s="3" t="inlineStr">
        <is>
          <t>Emp Code</t>
        </is>
      </c>
      <c r="C5" s="3" t="inlineStr">
        <is>
          <t>Full Name</t>
        </is>
      </c>
      <c r="D5" s="3" t="inlineStr">
        <is>
          <t>Department</t>
        </is>
      </c>
      <c r="E5" s="3" t="inlineStr">
        <is>
          <t>Base Salary ($)</t>
        </is>
      </c>
      <c r="F5" s="3" t="inlineStr">
        <is>
          <t>Perf Rating</t>
        </is>
      </c>
      <c r="G5" s="3" t="inlineStr">
        <is>
          <t>Bonus Pct</t>
        </is>
      </c>
      <c r="H5" s="3" t="inlineStr">
        <is>
          <t>Total Comp ($)</t>
        </is>
      </c>
      <c r="I5" s="4" t="inlineStr">
        <is>
          <t>Rating</t>
        </is>
      </c>
      <c r="J5" s="4" t="inlineStr">
        <is>
          <t>Bonus %</t>
        </is>
      </c>
    </row>
    <row r="6" ht="19" customHeight="1">
      <c r="B6" s="5" t="inlineStr">
        <is>
          <t>E-301</t>
        </is>
      </c>
      <c r="C6" s="5" t="inlineStr">
        <is>
          <t>Liam Johnson</t>
        </is>
      </c>
      <c r="D6" s="5" t="inlineStr">
        <is>
          <t>Analytics</t>
        </is>
      </c>
      <c r="E6" s="6" t="n">
        <v>85000</v>
      </c>
      <c r="F6" s="6" t="n">
        <v>4</v>
      </c>
      <c r="G6" s="5">
        <f>VLOOKUP(E6,$I$6:$J$10,2,FALSE)</f>
        <v/>
      </c>
      <c r="H6" s="5">
        <f>D6*(1+F6)</f>
        <v/>
      </c>
      <c r="I6" t="n">
        <v>1</v>
      </c>
      <c r="J6" s="7" t="n">
        <v>0</v>
      </c>
    </row>
    <row r="7" ht="19" customHeight="1">
      <c r="B7" s="8" t="inlineStr">
        <is>
          <t>E-302</t>
        </is>
      </c>
      <c r="C7" s="8" t="inlineStr">
        <is>
          <t>Sophia Garcia</t>
        </is>
      </c>
      <c r="D7" s="8" t="inlineStr">
        <is>
          <t>Engineering</t>
        </is>
      </c>
      <c r="E7" s="9" t="n">
        <v>105000</v>
      </c>
      <c r="F7" s="9" t="n">
        <v>5</v>
      </c>
      <c r="G7" s="8">
        <f>VLOOKUP(E7,$I$6:$J$10,2,FALSE)</f>
        <v/>
      </c>
      <c r="H7" s="8">
        <f>D7*(1+F7)</f>
        <v/>
      </c>
      <c r="I7" t="n">
        <v>2</v>
      </c>
      <c r="J7" s="7" t="n">
        <v>0.03</v>
      </c>
    </row>
    <row r="8" ht="19" customHeight="1">
      <c r="B8" s="5" t="inlineStr">
        <is>
          <t>E-303</t>
        </is>
      </c>
      <c r="C8" s="5" t="inlineStr">
        <is>
          <t>Noah Williams</t>
        </is>
      </c>
      <c r="D8" s="5" t="inlineStr">
        <is>
          <t>Marketing</t>
        </is>
      </c>
      <c r="E8" s="6" t="n">
        <v>72000</v>
      </c>
      <c r="F8" s="6" t="n">
        <v>3</v>
      </c>
      <c r="G8" s="5">
        <f>VLOOKUP(E8,$I$6:$J$10,2,FALSE)</f>
        <v/>
      </c>
      <c r="H8" s="5">
        <f>D8*(1+F8)</f>
        <v/>
      </c>
      <c r="I8" t="n">
        <v>3</v>
      </c>
      <c r="J8" s="7" t="n">
        <v>0.07000000000000001</v>
      </c>
    </row>
    <row r="9" ht="19" customHeight="1">
      <c r="B9" s="8" t="inlineStr">
        <is>
          <t>E-304</t>
        </is>
      </c>
      <c r="C9" s="8" t="inlineStr">
        <is>
          <t>Emma Brown</t>
        </is>
      </c>
      <c r="D9" s="8" t="inlineStr">
        <is>
          <t>HR</t>
        </is>
      </c>
      <c r="E9" s="9" t="n">
        <v>68000</v>
      </c>
      <c r="F9" s="9" t="n">
        <v>2</v>
      </c>
      <c r="G9" s="8">
        <f>VLOOKUP(E9,$I$6:$J$10,2,FALSE)</f>
        <v/>
      </c>
      <c r="H9" s="8">
        <f>D9*(1+F9)</f>
        <v/>
      </c>
      <c r="I9" t="n">
        <v>4</v>
      </c>
      <c r="J9" s="7" t="n">
        <v>0.12</v>
      </c>
    </row>
    <row r="10" ht="19" customHeight="1">
      <c r="B10" s="5" t="inlineStr">
        <is>
          <t>E-305</t>
        </is>
      </c>
      <c r="C10" s="5" t="inlineStr">
        <is>
          <t>James Rodriguez</t>
        </is>
      </c>
      <c r="D10" s="5" t="inlineStr">
        <is>
          <t>Engineering</t>
        </is>
      </c>
      <c r="E10" s="6" t="n">
        <v>112000</v>
      </c>
      <c r="F10" s="6" t="n">
        <v>5</v>
      </c>
      <c r="G10" s="5">
        <f>VLOOKUP(E10,$I$6:$J$10,2,FALSE)</f>
        <v/>
      </c>
      <c r="H10" s="5">
        <f>D10*(1+F10)</f>
        <v/>
      </c>
      <c r="I10" t="n">
        <v>5</v>
      </c>
      <c r="J10" s="7" t="n">
        <v>0.2</v>
      </c>
    </row>
    <row r="11" ht="22" customHeight="1">
      <c r="B11" s="10" t="inlineStr">
        <is>
          <t>Totals / Averages</t>
        </is>
      </c>
      <c r="C11" s="10" t="inlineStr"/>
      <c r="D11" s="10" t="inlineStr"/>
      <c r="E11" s="11">
        <f>SUM(D6:D10)</f>
        <v/>
      </c>
      <c r="F11" s="11">
        <f>AVERAGE(E6:E10)</f>
        <v/>
      </c>
      <c r="G11" s="11">
        <f>AVERAGE(F6:F10)</f>
        <v/>
      </c>
      <c r="H11" s="11">
        <f>SUM(G6:G10)</f>
        <v/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