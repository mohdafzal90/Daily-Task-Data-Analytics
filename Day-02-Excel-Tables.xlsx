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55555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000000"/>
      <sz val="10"/>
    </font>
  </fonts>
  <fills count="6">
    <fill>
      <patternFill/>
    </fill>
    <fill>
      <patternFill patternType="gray125"/>
    </fill>
    <fill>
      <patternFill patternType="solid">
        <fgColor rgb="000E6251"/>
        <bgColor rgb="000E6251"/>
      </patternFill>
    </fill>
    <fill>
      <patternFill patternType="solid">
        <fgColor rgb="00117864"/>
        <bgColor rgb="00117864"/>
      </patternFill>
    </fill>
    <fill>
      <patternFill patternType="solid">
        <fgColor rgb="00E8F8F5"/>
        <bgColor rgb="00E8F8F5"/>
      </patternFill>
    </fill>
    <fill>
      <patternFill patternType="solid">
        <fgColor rgb="00D4EFDF"/>
        <bgColor rgb="00D4EFDF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5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9" customWidth="1" min="2" max="2"/>
    <col width="12" customWidth="1" min="3" max="3"/>
    <col width="17" customWidth="1" min="4" max="4"/>
    <col width="16" customWidth="1" min="5" max="5"/>
    <col width="20" customWidth="1" min="6" max="6"/>
    <col width="21" customWidth="1" min="7" max="7"/>
    <col width="18" customWidth="1" min="8" max="8"/>
  </cols>
  <sheetData>
    <row r="1"/>
    <row r="2" ht="30" customHeight="1">
      <c r="B2" s="1" t="inlineStr">
        <is>
          <t xml:space="preserve">  DAY 2: STRUCTURED TABLES &amp; COLUMN REFERENCES</t>
        </is>
      </c>
    </row>
    <row r="3" ht="20" customHeight="1">
      <c r="B3" s="2" t="inlineStr">
        <is>
          <t xml:space="preserve">  Table features: Auto-expansion, banded rows, structured calculations, sorting, and filtering.</t>
        </is>
      </c>
    </row>
    <row r="4"/>
    <row r="5" ht="24" customHeight="1">
      <c r="B5" s="3" t="inlineStr">
        <is>
          <t>Order ID</t>
        </is>
      </c>
      <c r="C5" s="3" t="inlineStr">
        <is>
          <t>Region</t>
        </is>
      </c>
      <c r="D5" s="3" t="inlineStr">
        <is>
          <t>Rep Name</t>
        </is>
      </c>
      <c r="E5" s="3" t="inlineStr">
        <is>
          <t>Units Sold</t>
        </is>
      </c>
      <c r="F5" s="3" t="inlineStr">
        <is>
          <t>Unit Price ($)</t>
        </is>
      </c>
      <c r="G5" s="3" t="inlineStr">
        <is>
          <t>Gross Revenue ($)</t>
        </is>
      </c>
      <c r="H5" s="3" t="inlineStr">
        <is>
          <t>Net Profit ($)</t>
        </is>
      </c>
    </row>
    <row r="6" ht="19" customHeight="1">
      <c r="B6" s="4" t="inlineStr">
        <is>
          <t>ORD-501</t>
        </is>
      </c>
      <c r="C6" s="4" t="inlineStr">
        <is>
          <t>North</t>
        </is>
      </c>
      <c r="D6" s="4" t="inlineStr">
        <is>
          <t>Sarah Davis</t>
        </is>
      </c>
      <c r="E6" s="5" t="n">
        <v>120</v>
      </c>
      <c r="F6" s="5" t="n">
        <v>45</v>
      </c>
      <c r="G6" s="4">
        <f>D6*E6</f>
        <v/>
      </c>
      <c r="H6" s="4">
        <f>F6*0.35</f>
        <v/>
      </c>
    </row>
    <row r="7" ht="19" customHeight="1">
      <c r="B7" s="6" t="inlineStr">
        <is>
          <t>ORD-502</t>
        </is>
      </c>
      <c r="C7" s="6" t="inlineStr">
        <is>
          <t>South</t>
        </is>
      </c>
      <c r="D7" s="6" t="inlineStr">
        <is>
          <t>James Wilson</t>
        </is>
      </c>
      <c r="E7" s="7" t="n">
        <v>85</v>
      </c>
      <c r="F7" s="7" t="n">
        <v>52</v>
      </c>
      <c r="G7" s="6">
        <f>D7*E7</f>
        <v/>
      </c>
      <c r="H7" s="6">
        <f>F7*0.32</f>
        <v/>
      </c>
    </row>
    <row r="8" ht="19" customHeight="1">
      <c r="B8" s="4" t="inlineStr">
        <is>
          <t>ORD-503</t>
        </is>
      </c>
      <c r="C8" s="4" t="inlineStr">
        <is>
          <t>East</t>
        </is>
      </c>
      <c r="D8" s="4" t="inlineStr">
        <is>
          <t>Emily Zhang</t>
        </is>
      </c>
      <c r="E8" s="5" t="n">
        <v>210</v>
      </c>
      <c r="F8" s="5" t="n">
        <v>38</v>
      </c>
      <c r="G8" s="4">
        <f>D8*E8</f>
        <v/>
      </c>
      <c r="H8" s="4">
        <f>F8*0.40</f>
        <v/>
      </c>
    </row>
    <row r="9" ht="19" customHeight="1">
      <c r="B9" s="6" t="inlineStr">
        <is>
          <t>ORD-504</t>
        </is>
      </c>
      <c r="C9" s="6" t="inlineStr">
        <is>
          <t>West</t>
        </is>
      </c>
      <c r="D9" s="6" t="inlineStr">
        <is>
          <t>Michael Brown</t>
        </is>
      </c>
      <c r="E9" s="7" t="n">
        <v>95</v>
      </c>
      <c r="F9" s="7" t="n">
        <v>60</v>
      </c>
      <c r="G9" s="6">
        <f>D9*E9</f>
        <v/>
      </c>
      <c r="H9" s="6">
        <f>F9*0.30</f>
        <v/>
      </c>
    </row>
    <row r="10" ht="19" customHeight="1">
      <c r="B10" s="4" t="inlineStr">
        <is>
          <t>ORD-505</t>
        </is>
      </c>
      <c r="C10" s="4" t="inlineStr">
        <is>
          <t>North</t>
        </is>
      </c>
      <c r="D10" s="4" t="inlineStr">
        <is>
          <t>Sarah Davis</t>
        </is>
      </c>
      <c r="E10" s="5" t="n">
        <v>140</v>
      </c>
      <c r="F10" s="5" t="n">
        <v>45</v>
      </c>
      <c r="G10" s="4">
        <f>D10*E10</f>
        <v/>
      </c>
      <c r="H10" s="4">
        <f>F10*0.35</f>
        <v/>
      </c>
    </row>
    <row r="11" ht="19" customHeight="1">
      <c r="B11" s="6" t="inlineStr">
        <is>
          <t>ORD-506</t>
        </is>
      </c>
      <c r="C11" s="6" t="inlineStr">
        <is>
          <t>East</t>
        </is>
      </c>
      <c r="D11" s="6" t="inlineStr">
        <is>
          <t>Emily Zhang</t>
        </is>
      </c>
      <c r="E11" s="7" t="n">
        <v>180</v>
      </c>
      <c r="F11" s="7" t="n">
        <v>42</v>
      </c>
      <c r="G11" s="6">
        <f>D11*E11</f>
        <v/>
      </c>
      <c r="H11" s="6">
        <f>F11*0.38</f>
        <v/>
      </c>
    </row>
    <row r="12" ht="19" customHeight="1">
      <c r="B12" s="4" t="inlineStr">
        <is>
          <t>ORD-507</t>
        </is>
      </c>
      <c r="C12" s="4" t="inlineStr">
        <is>
          <t>West</t>
        </is>
      </c>
      <c r="D12" s="4" t="inlineStr">
        <is>
          <t>Michael Brown</t>
        </is>
      </c>
      <c r="E12" s="5" t="n">
        <v>110</v>
      </c>
      <c r="F12" s="5" t="n">
        <v>58</v>
      </c>
      <c r="G12" s="4">
        <f>D12*E12</f>
        <v/>
      </c>
      <c r="H12" s="4">
        <f>F12*0.31</f>
        <v/>
      </c>
    </row>
    <row r="13" ht="19" customHeight="1">
      <c r="B13" s="6" t="inlineStr">
        <is>
          <t>ORD-508</t>
        </is>
      </c>
      <c r="C13" s="6" t="inlineStr">
        <is>
          <t>South</t>
        </is>
      </c>
      <c r="D13" s="6" t="inlineStr">
        <is>
          <t>James Wilson</t>
        </is>
      </c>
      <c r="E13" s="7" t="n">
        <v>130</v>
      </c>
      <c r="F13" s="7" t="n">
        <v>48</v>
      </c>
      <c r="G13" s="6">
        <f>D13*E13</f>
        <v/>
      </c>
      <c r="H13" s="6">
        <f>F13*0.33</f>
        <v/>
      </c>
    </row>
    <row r="14" ht="22" customHeight="1">
      <c r="B14" s="8" t="inlineStr">
        <is>
          <t>Total / Average</t>
        </is>
      </c>
      <c r="C14" s="8" t="inlineStr"/>
      <c r="D14" s="8" t="inlineStr"/>
      <c r="E14" s="9">
        <f>SUM(D6:D13)</f>
        <v/>
      </c>
      <c r="F14" s="9">
        <f>AVERAGE(E6:E13)</f>
        <v/>
      </c>
      <c r="G14" s="9">
        <f>SUM(F6:F13)</f>
        <v/>
      </c>
      <c r="H14" s="9">
        <f>SUM(G6:G13)</f>
        <v/>
      </c>
    </row>
  </sheetData>
  <mergeCells count="2">
    <mergeCell ref="B3:H3"/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2026-09-22T05:04:42Z</dcterms:created>
  <dcterms:modified xmlns:dcterms="http://purl.org/dc/terms/" xmlns:xsi="http://www.w3.org/2001/XMLSchema-instance" xsi:type="dcterms:W3CDTF">2026-09-22T05:04:42Z</dcterms:modified>
</cp:coreProperties>
</file>