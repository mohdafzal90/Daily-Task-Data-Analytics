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Transactions" sheetId="1" state="visible" r:id="rId1"/>
    <sheet xmlns:r="http://schemas.openxmlformats.org/officeDocument/2006/relationships" name="Pivot Summary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512E5F"/>
        <bgColor rgb="00512E5F"/>
      </patternFill>
    </fill>
    <fill>
      <patternFill patternType="solid">
        <fgColor rgb="006C3483"/>
        <bgColor rgb="006C3483"/>
      </patternFill>
    </fill>
    <fill>
      <patternFill patternType="solid">
        <fgColor rgb="00F5EEF8"/>
        <bgColor rgb="00F5EEF8"/>
      </patternFill>
    </fill>
    <fill>
      <patternFill patternType="solid">
        <fgColor rgb="00EBDEF0"/>
        <bgColor rgb="00EBDEF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20" customWidth="1" min="3" max="3"/>
    <col width="17" customWidth="1" min="4" max="4"/>
    <col width="20" customWidth="1" min="5" max="5"/>
    <col width="17" customWidth="1" min="6" max="6"/>
    <col width="16" customWidth="1" min="7" max="7"/>
    <col width="16" customWidth="1" min="8" max="8"/>
    <col width="16" customWidth="1" min="9" max="9"/>
  </cols>
  <sheetData>
    <row r="1"/>
    <row r="2" ht="30" customHeight="1">
      <c r="B2" s="1" t="inlineStr">
        <is>
          <t xml:space="preserve">  DAY 10: PIVOT TABLES FOUNDATIONS &amp; SOURCE DATA DESIGN</t>
        </is>
      </c>
    </row>
    <row r="3" ht="20" customHeight="1">
      <c r="B3" s="2" t="inlineStr">
        <is>
          <t xml:space="preserve">  Designing tabular datasets ready for pivoting, field layout, and aggregation models.</t>
        </is>
      </c>
    </row>
    <row r="4"/>
    <row r="5" ht="24" customHeight="1">
      <c r="B5" s="3" t="inlineStr">
        <is>
          <t>Txn ID</t>
        </is>
      </c>
      <c r="C5" s="3" t="inlineStr">
        <is>
          <t>Transaction Date</t>
        </is>
      </c>
      <c r="D5" s="3" t="inlineStr">
        <is>
          <t>Region</t>
        </is>
      </c>
      <c r="E5" s="3" t="inlineStr">
        <is>
          <t>Product Category</t>
        </is>
      </c>
      <c r="F5" s="3" t="inlineStr">
        <is>
          <t>Sales Channel</t>
        </is>
      </c>
      <c r="G5" s="3" t="inlineStr">
        <is>
          <t>Units</t>
        </is>
      </c>
      <c r="H5" s="3" t="inlineStr">
        <is>
          <t>Revenue ($)</t>
        </is>
      </c>
      <c r="I5" s="3" t="inlineStr">
        <is>
          <t>Profit ($)</t>
        </is>
      </c>
    </row>
    <row r="6" ht="19" customHeight="1">
      <c r="B6" s="4" t="inlineStr">
        <is>
          <t>TX-1001</t>
        </is>
      </c>
      <c r="C6" s="4" t="inlineStr">
        <is>
          <t>2026-01-10</t>
        </is>
      </c>
      <c r="D6" s="4" t="inlineStr">
        <is>
          <t>North America</t>
        </is>
      </c>
      <c r="E6" s="4" t="inlineStr">
        <is>
          <t>Electronics</t>
        </is>
      </c>
      <c r="F6" s="4" t="inlineStr">
        <is>
          <t>Online</t>
        </is>
      </c>
      <c r="G6" s="5" t="n">
        <v>25</v>
      </c>
      <c r="H6" s="5" t="n">
        <v>12500</v>
      </c>
      <c r="I6" s="5" t="n">
        <v>3750</v>
      </c>
    </row>
    <row r="7" ht="19" customHeight="1">
      <c r="B7" s="6" t="inlineStr">
        <is>
          <t>TX-1002</t>
        </is>
      </c>
      <c r="C7" s="6" t="inlineStr">
        <is>
          <t>2026-01-12</t>
        </is>
      </c>
      <c r="D7" s="6" t="inlineStr">
        <is>
          <t>Europe</t>
        </is>
      </c>
      <c r="E7" s="6" t="inlineStr">
        <is>
          <t>Apparel</t>
        </is>
      </c>
      <c r="F7" s="6" t="inlineStr">
        <is>
          <t>Retail Store</t>
        </is>
      </c>
      <c r="G7" s="7" t="n">
        <v>60</v>
      </c>
      <c r="H7" s="7" t="n">
        <v>4800</v>
      </c>
      <c r="I7" s="7" t="n">
        <v>1920</v>
      </c>
    </row>
    <row r="8" ht="19" customHeight="1">
      <c r="B8" s="4" t="inlineStr">
        <is>
          <t>TX-1003</t>
        </is>
      </c>
      <c r="C8" s="4" t="inlineStr">
        <is>
          <t>2026-01-15</t>
        </is>
      </c>
      <c r="D8" s="4" t="inlineStr">
        <is>
          <t>Asia-Pacific</t>
        </is>
      </c>
      <c r="E8" s="4" t="inlineStr">
        <is>
          <t>Home Goods</t>
        </is>
      </c>
      <c r="F8" s="4" t="inlineStr">
        <is>
          <t>Online</t>
        </is>
      </c>
      <c r="G8" s="5" t="n">
        <v>40</v>
      </c>
      <c r="H8" s="5" t="n">
        <v>6000</v>
      </c>
      <c r="I8" s="5" t="n">
        <v>1800</v>
      </c>
    </row>
    <row r="9" ht="19" customHeight="1">
      <c r="B9" s="6" t="inlineStr">
        <is>
          <t>TX-1004</t>
        </is>
      </c>
      <c r="C9" s="6" t="inlineStr">
        <is>
          <t>2026-01-18</t>
        </is>
      </c>
      <c r="D9" s="6" t="inlineStr">
        <is>
          <t>North America</t>
        </is>
      </c>
      <c r="E9" s="6" t="inlineStr">
        <is>
          <t>Apparel</t>
        </is>
      </c>
      <c r="F9" s="6" t="inlineStr">
        <is>
          <t>Distributor</t>
        </is>
      </c>
      <c r="G9" s="7" t="n">
        <v>110</v>
      </c>
      <c r="H9" s="7" t="n">
        <v>8800</v>
      </c>
      <c r="I9" s="7" t="n">
        <v>2640</v>
      </c>
    </row>
    <row r="10" ht="19" customHeight="1">
      <c r="B10" s="4" t="inlineStr">
        <is>
          <t>TX-1005</t>
        </is>
      </c>
      <c r="C10" s="4" t="inlineStr">
        <is>
          <t>2026-01-22</t>
        </is>
      </c>
      <c r="D10" s="4" t="inlineStr">
        <is>
          <t>Europe</t>
        </is>
      </c>
      <c r="E10" s="4" t="inlineStr">
        <is>
          <t>Electronics</t>
        </is>
      </c>
      <c r="F10" s="4" t="inlineStr">
        <is>
          <t>Online</t>
        </is>
      </c>
      <c r="G10" s="5" t="n">
        <v>18</v>
      </c>
      <c r="H10" s="5" t="n">
        <v>9000</v>
      </c>
      <c r="I10" s="5" t="n">
        <v>2700</v>
      </c>
    </row>
    <row r="11" ht="19" customHeight="1">
      <c r="B11" s="6" t="inlineStr">
        <is>
          <t>TX-1006</t>
        </is>
      </c>
      <c r="C11" s="6" t="inlineStr">
        <is>
          <t>2026-01-25</t>
        </is>
      </c>
      <c r="D11" s="6" t="inlineStr">
        <is>
          <t>Latin America</t>
        </is>
      </c>
      <c r="E11" s="6" t="inlineStr">
        <is>
          <t>Home Goods</t>
        </is>
      </c>
      <c r="F11" s="6" t="inlineStr">
        <is>
          <t>Retail Store</t>
        </is>
      </c>
      <c r="G11" s="7" t="n">
        <v>35</v>
      </c>
      <c r="H11" s="7" t="n">
        <v>4200</v>
      </c>
      <c r="I11" s="7" t="n">
        <v>1260</v>
      </c>
    </row>
    <row r="12" ht="19" customHeight="1">
      <c r="B12" s="4" t="inlineStr">
        <is>
          <t>TX-1007</t>
        </is>
      </c>
      <c r="C12" s="4" t="inlineStr">
        <is>
          <t>2026-02-02</t>
        </is>
      </c>
      <c r="D12" s="4" t="inlineStr">
        <is>
          <t>North America</t>
        </is>
      </c>
      <c r="E12" s="4" t="inlineStr">
        <is>
          <t>Home Goods</t>
        </is>
      </c>
      <c r="F12" s="4" t="inlineStr">
        <is>
          <t>Online</t>
        </is>
      </c>
      <c r="G12" s="5" t="n">
        <v>55</v>
      </c>
      <c r="H12" s="5" t="n">
        <v>7700</v>
      </c>
      <c r="I12" s="5" t="n">
        <v>2310</v>
      </c>
    </row>
    <row r="13" ht="19" customHeight="1">
      <c r="B13" s="6" t="inlineStr">
        <is>
          <t>TX-1008</t>
        </is>
      </c>
      <c r="C13" s="6" t="inlineStr">
        <is>
          <t>2026-02-05</t>
        </is>
      </c>
      <c r="D13" s="6" t="inlineStr">
        <is>
          <t>Asia-Pacific</t>
        </is>
      </c>
      <c r="E13" s="6" t="inlineStr">
        <is>
          <t>Electronics</t>
        </is>
      </c>
      <c r="F13" s="6" t="inlineStr">
        <is>
          <t>Online</t>
        </is>
      </c>
      <c r="G13" s="7" t="n">
        <v>32</v>
      </c>
      <c r="H13" s="7" t="n">
        <v>16000</v>
      </c>
      <c r="I13" s="7" t="n">
        <v>4800</v>
      </c>
    </row>
    <row r="14" ht="19" customHeight="1">
      <c r="B14" s="4" t="inlineStr">
        <is>
          <t>TX-1009</t>
        </is>
      </c>
      <c r="C14" s="4" t="inlineStr">
        <is>
          <t>2026-02-10</t>
        </is>
      </c>
      <c r="D14" s="4" t="inlineStr">
        <is>
          <t>Europe</t>
        </is>
      </c>
      <c r="E14" s="4" t="inlineStr">
        <is>
          <t>Apparel</t>
        </is>
      </c>
      <c r="F14" s="4" t="inlineStr">
        <is>
          <t>Distributor</t>
        </is>
      </c>
      <c r="G14" s="5" t="n">
        <v>75</v>
      </c>
      <c r="H14" s="5" t="n">
        <v>6000</v>
      </c>
      <c r="I14" s="5" t="n">
        <v>1800</v>
      </c>
    </row>
    <row r="15" ht="19" customHeight="1">
      <c r="B15" s="6" t="inlineStr">
        <is>
          <t>TX-1010</t>
        </is>
      </c>
      <c r="C15" s="6" t="inlineStr">
        <is>
          <t>2026-02-14</t>
        </is>
      </c>
      <c r="D15" s="6" t="inlineStr">
        <is>
          <t>Latin America</t>
        </is>
      </c>
      <c r="E15" s="6" t="inlineStr">
        <is>
          <t>Electronics</t>
        </is>
      </c>
      <c r="F15" s="6" t="inlineStr">
        <is>
          <t>Retail Store</t>
        </is>
      </c>
      <c r="G15" s="7" t="n">
        <v>12</v>
      </c>
      <c r="H15" s="7" t="n">
        <v>6000</v>
      </c>
      <c r="I15" s="7" t="n">
        <v>1500</v>
      </c>
    </row>
    <row r="16" ht="22" customHeight="1">
      <c r="B16" s="8" t="inlineStr">
        <is>
          <t>Grand Total</t>
        </is>
      </c>
      <c r="C16" s="8" t="inlineStr"/>
      <c r="D16" s="8" t="inlineStr"/>
      <c r="E16" s="8" t="inlineStr"/>
      <c r="F16" s="8" t="inlineStr"/>
      <c r="G16" s="9">
        <f>SUM(G6:G15)</f>
        <v/>
      </c>
      <c r="H16" s="9">
        <f>SUM(H6:H15)</f>
        <v/>
      </c>
      <c r="I16" s="9">
        <f>SUM(I6:I15)</f>
        <v/>
      </c>
    </row>
  </sheetData>
  <mergeCells count="2">
    <mergeCell ref="B3:I3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32" customWidth="1" min="3" max="3"/>
    <col width="128" customWidth="1" min="4" max="4"/>
    <col width="131" customWidth="1" min="5" max="5"/>
    <col width="21" customWidth="1" min="6" max="6"/>
  </cols>
  <sheetData>
    <row r="1"/>
    <row r="2" ht="30" customHeight="1">
      <c r="B2" s="1" t="inlineStr">
        <is>
          <t xml:space="preserve">  PIVOT TABLE SIMULATION: REGION BY CATEGORY</t>
        </is>
      </c>
    </row>
    <row r="3" ht="20" customHeight="1">
      <c r="B3" s="2" t="inlineStr">
        <is>
          <t xml:space="preserve">  Two-dimensional matrix representing Pivot Table cross-tabulation.</t>
        </is>
      </c>
    </row>
    <row r="4"/>
    <row r="5" ht="24" customHeight="1">
      <c r="B5" s="3" t="inlineStr">
        <is>
          <t>Region</t>
        </is>
      </c>
      <c r="C5" s="3" t="inlineStr">
        <is>
          <t>Electronics ($)</t>
        </is>
      </c>
      <c r="D5" s="3" t="inlineStr">
        <is>
          <t>Apparel ($)</t>
        </is>
      </c>
      <c r="E5" s="3" t="inlineStr">
        <is>
          <t>Home Goods ($)</t>
        </is>
      </c>
      <c r="F5" s="3" t="inlineStr">
        <is>
          <t>Total Revenue ($)</t>
        </is>
      </c>
    </row>
    <row r="6" ht="19" customHeight="1">
      <c r="B6" s="4" t="inlineStr">
        <is>
          <t>North America</t>
        </is>
      </c>
      <c r="C6" s="4">
        <f>SUMIFS('Raw Transactions'!$H$6:$H$15,'Raw Transactions'!$D$6:$D$15,"North America",'Raw Transactions'!$E$6:$E$15,"Electronics")</f>
        <v/>
      </c>
      <c r="D6" s="4">
        <f>SUMIFS('Raw Transactions'!$H$6:$H$15,'Raw Transactions'!$D$6:$D$15,"North America",'Raw Transactions'!$E$6:$E$15,"Apparel")</f>
        <v/>
      </c>
      <c r="E6" s="4">
        <f>SUMIFS('Raw Transactions'!$H$6:$H$15,'Raw Transactions'!$D$6:$D$15,"North America",'Raw Transactions'!$E$6:$E$15,"Home Goods")</f>
        <v/>
      </c>
      <c r="F6" s="4">
        <f>SUM(C6:E6)</f>
        <v/>
      </c>
    </row>
    <row r="7" ht="19" customHeight="1">
      <c r="B7" s="6" t="inlineStr">
        <is>
          <t>Europe</t>
        </is>
      </c>
      <c r="C7" s="6">
        <f>SUMIFS('Raw Transactions'!$H$6:$H$15,'Raw Transactions'!$D$6:$D$15,"Europe",'Raw Transactions'!$E$6:$E$15,"Electronics")</f>
        <v/>
      </c>
      <c r="D7" s="6">
        <f>SUMIFS('Raw Transactions'!$H$6:$H$15,'Raw Transactions'!$D$6:$D$15,"Europe",'Raw Transactions'!$E$6:$E$15,"Apparel")</f>
        <v/>
      </c>
      <c r="E7" s="6">
        <f>SUMIFS('Raw Transactions'!$H$6:$H$15,'Raw Transactions'!$D$6:$D$15,"Europe",'Raw Transactions'!$E$6:$E$15,"Home Goods")</f>
        <v/>
      </c>
      <c r="F7" s="6">
        <f>SUM(C7:E7)</f>
        <v/>
      </c>
    </row>
    <row r="8" ht="19" customHeight="1">
      <c r="B8" s="4" t="inlineStr">
        <is>
          <t>Asia-Pacific</t>
        </is>
      </c>
      <c r="C8" s="4">
        <f>SUMIFS('Raw Transactions'!$H$6:$H$15,'Raw Transactions'!$D$6:$D$15,"Asia-Pacific",'Raw Transactions'!$E$6:$E$15,"Electronics")</f>
        <v/>
      </c>
      <c r="D8" s="4">
        <f>SUMIFS('Raw Transactions'!$H$6:$H$15,'Raw Transactions'!$D$6:$D$15,"Asia-Pacific",'Raw Transactions'!$E$6:$E$15,"Apparel")</f>
        <v/>
      </c>
      <c r="E8" s="4">
        <f>SUMIFS('Raw Transactions'!$H$6:$H$15,'Raw Transactions'!$D$6:$D$15,"Asia-Pacific",'Raw Transactions'!$E$6:$E$15,"Home Goods")</f>
        <v/>
      </c>
      <c r="F8" s="4">
        <f>SUM(C8:E8)</f>
        <v/>
      </c>
    </row>
    <row r="9" ht="19" customHeight="1">
      <c r="B9" s="6" t="inlineStr">
        <is>
          <t>Latin America</t>
        </is>
      </c>
      <c r="C9" s="6">
        <f>SUMIFS('Raw Transactions'!$H$6:$H$15,'Raw Transactions'!$D$6:$D$15,"Latin America",'Raw Transactions'!$E$6:$E$15,"Electronics")</f>
        <v/>
      </c>
      <c r="D9" s="6">
        <f>SUMIFS('Raw Transactions'!$H$6:$H$15,'Raw Transactions'!$D$6:$D$15,"Latin America",'Raw Transactions'!$E$6:$E$15,"Apparel")</f>
        <v/>
      </c>
      <c r="E9" s="6">
        <f>SUMIFS('Raw Transactions'!$H$6:$H$15,'Raw Transactions'!$D$6:$D$15,"Latin America",'Raw Transactions'!$E$6:$E$15,"Home Goods")</f>
        <v/>
      </c>
      <c r="F9" s="6">
        <f>SUM(C9:E9)</f>
        <v/>
      </c>
    </row>
    <row r="10" ht="22" customHeight="1">
      <c r="B10" s="8" t="inlineStr">
        <is>
          <t>Total</t>
        </is>
      </c>
      <c r="C10" s="9">
        <f>SUM(C6:C9)</f>
        <v/>
      </c>
      <c r="D10" s="9">
        <f>SUM(D6:D9)</f>
        <v/>
      </c>
      <c r="E10" s="9">
        <f>SUM(E6:E9)</f>
        <v/>
      </c>
      <c r="F10" s="9">
        <f>SUM(F6:F9)</f>
        <v/>
      </c>
    </row>
  </sheetData>
  <mergeCells count="2">
    <mergeCell ref="B2:F2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2026-09-22T05:04:42Z</dcterms:created>
  <dcterms:modified xmlns:dcterms="http://purl.org/dc/terms/" xmlns:xsi="http://www.w3.org/2001/XMLSchema-instance" xsi:type="dcterms:W3CDTF">2026-09-22T05:04:42Z</dcterms:modified>
</cp:coreProperties>
</file>