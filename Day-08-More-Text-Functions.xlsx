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vanced Text O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555555"/>
      <sz val="10"/>
    </font>
    <font>
      <name val="Calibri"/>
      <b val="1"/>
      <color rgb="00FFFFFF"/>
      <sz val="11"/>
    </font>
    <font>
      <name val="Calibri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0E6251"/>
        <bgColor rgb="000E6251"/>
      </patternFill>
    </fill>
    <fill>
      <patternFill patternType="solid">
        <fgColor rgb="00117864"/>
        <bgColor rgb="00117864"/>
      </patternFill>
    </fill>
    <fill>
      <patternFill patternType="solid">
        <fgColor rgb="00E8F8F5"/>
        <bgColor rgb="00E8F8F5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7" customWidth="1" min="3" max="3"/>
    <col width="20" customWidth="1" min="4" max="4"/>
    <col width="27" customWidth="1" min="5" max="5"/>
    <col width="27" customWidth="1" min="6" max="6"/>
    <col width="13" customWidth="1" min="7" max="7"/>
    <col width="47" customWidth="1" min="8" max="8"/>
  </cols>
  <sheetData>
    <row r="1"/>
    <row r="2" ht="30" customHeight="1">
      <c r="B2" s="1" t="inlineStr">
        <is>
          <t xml:space="preserve">  DAY 8: ADVANCED TEXT (TEXTJOIN, SUBSTITUTE, REPLACE, SEARCH, LEN)</t>
        </is>
      </c>
    </row>
    <row r="3" ht="20" customHeight="1">
      <c r="B3" s="2" t="inlineStr">
        <is>
          <t xml:space="preserve">  Parsing complex delimited codes, replacing sub-strings, dynamic length checks, and concatenation.</t>
        </is>
      </c>
    </row>
    <row r="4"/>
    <row r="5" ht="24" customHeight="1">
      <c r="B5" s="3" t="inlineStr">
        <is>
          <t>SKU Code</t>
        </is>
      </c>
      <c r="C5" s="3" t="inlineStr">
        <is>
          <t>FIND Dash</t>
        </is>
      </c>
      <c r="D5" s="3" t="inlineStr">
        <is>
          <t>Extracted Prefix</t>
        </is>
      </c>
      <c r="E5" s="3" t="inlineStr">
        <is>
          <t>REPLACE Code</t>
        </is>
      </c>
      <c r="F5" s="3" t="inlineStr">
        <is>
          <t>SUBSTITUTE Dots</t>
        </is>
      </c>
      <c r="G5" s="3" t="inlineStr">
        <is>
          <t>LEN Check</t>
        </is>
      </c>
      <c r="H5" s="3" t="inlineStr">
        <is>
          <t>TEXTJOIN Tags</t>
        </is>
      </c>
    </row>
    <row r="6" ht="19" customHeight="1">
      <c r="B6" s="4" t="inlineStr">
        <is>
          <t>PROD-9481-US</t>
        </is>
      </c>
      <c r="C6" s="4">
        <f>FIND("-",B6)</f>
        <v/>
      </c>
      <c r="D6" s="4">
        <f>LEFT(B6,C6-1)</f>
        <v/>
      </c>
      <c r="E6" s="4">
        <f>REPLACE(B6,1,4,"ITEM")</f>
        <v/>
      </c>
      <c r="F6" s="4">
        <f>SUBSTITUTE(B6,"-",".")</f>
        <v/>
      </c>
      <c r="G6" s="4">
        <f>LEN(B6)</f>
        <v/>
      </c>
      <c r="H6" s="4">
        <f>TEXTJOIN(", ",TRUE,B6,"InStock","HQ")</f>
        <v/>
      </c>
    </row>
    <row r="7" ht="19" customHeight="1">
      <c r="B7" s="5" t="inlineStr">
        <is>
          <t>TOOL-3312-EU</t>
        </is>
      </c>
      <c r="C7" s="5">
        <f>FIND("-",B7)</f>
        <v/>
      </c>
      <c r="D7" s="5">
        <f>LEFT(B7,C7-1)</f>
        <v/>
      </c>
      <c r="E7" s="5">
        <f>REPLACE(B7,1,4,"ITEM")</f>
        <v/>
      </c>
      <c r="F7" s="5">
        <f>SUBSTITUTE(B7,"-",".")</f>
        <v/>
      </c>
      <c r="G7" s="5">
        <f>LEN(B7)</f>
        <v/>
      </c>
      <c r="H7" s="5">
        <f>TEXTJOIN(", ",TRUE,B7,"Backorder","DE")</f>
        <v/>
      </c>
    </row>
    <row r="8" ht="19" customHeight="1">
      <c r="B8" s="4" t="inlineStr">
        <is>
          <t>ELEC-8819-AP</t>
        </is>
      </c>
      <c r="C8" s="4">
        <f>FIND("-",B8)</f>
        <v/>
      </c>
      <c r="D8" s="4">
        <f>LEFT(B8,C8-1)</f>
        <v/>
      </c>
      <c r="E8" s="4">
        <f>REPLACE(B8,1,4,"ITEM")</f>
        <v/>
      </c>
      <c r="F8" s="4">
        <f>SUBSTITUTE(B8,"-",".")</f>
        <v/>
      </c>
      <c r="G8" s="4">
        <f>LEN(B8)</f>
        <v/>
      </c>
      <c r="H8" s="4">
        <f>TEXTJOIN(", ",TRUE,B8,"Discontinued","SG")</f>
        <v/>
      </c>
    </row>
    <row r="9" ht="19" customHeight="1">
      <c r="B9" s="5" t="inlineStr">
        <is>
          <t>SERV-1044-NA</t>
        </is>
      </c>
      <c r="C9" s="5">
        <f>FIND("-",B9)</f>
        <v/>
      </c>
      <c r="D9" s="5">
        <f>LEFT(B9,C9-1)</f>
        <v/>
      </c>
      <c r="E9" s="5">
        <f>REPLACE(B9,1,4,"ITEM")</f>
        <v/>
      </c>
      <c r="F9" s="5">
        <f>SUBSTITUTE(B9,"-",".")</f>
        <v/>
      </c>
      <c r="G9" s="5">
        <f>LEN(B9)</f>
        <v/>
      </c>
      <c r="H9" s="5">
        <f>TEXTJOIN(", ",TRUE,B9,"Active","US")</f>
        <v/>
      </c>
    </row>
  </sheetData>
  <mergeCells count="2">
    <mergeCell ref="B3:H3"/>
    <mergeCell ref="B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2026-09-22T05:04:42Z</dcterms:created>
  <dcterms:modified xmlns:dcterms="http://purl.org/dc/terms/" xmlns:xsi="http://www.w3.org/2001/XMLSchema-instance" xsi:type="dcterms:W3CDTF">2026-09-22T05:04:42Z</dcterms:modified>
</cp:coreProperties>
</file>