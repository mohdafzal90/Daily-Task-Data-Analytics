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 &amp; Timelin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B2631"/>
        <bgColor rgb="001B2631"/>
      </patternFill>
    </fill>
    <fill>
      <patternFill patternType="solid">
        <fgColor rgb="002E4053"/>
        <bgColor rgb="002E4053"/>
      </patternFill>
    </fill>
    <fill>
      <patternFill patternType="solid">
        <fgColor rgb="00EAECEE"/>
        <bgColor rgb="00EAECEE"/>
      </patternFill>
    </fill>
    <fill>
      <patternFill patternType="solid">
        <fgColor rgb="00D6DBDF"/>
        <bgColor rgb="00D6DBD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25" customWidth="1" min="5" max="5"/>
    <col width="25" customWidth="1" min="6" max="6"/>
    <col width="32" customWidth="1" min="7" max="7"/>
    <col width="19" customWidth="1" min="8" max="8"/>
    <col width="46" customWidth="1" min="9" max="9"/>
  </cols>
  <sheetData>
    <row r="1"/>
    <row r="2" ht="30" customHeight="1">
      <c r="B2" s="1" t="inlineStr">
        <is>
          <t xml:space="preserve">  DAY 9: DATE &amp; TIME FUNCTIONS (TODAY, NOW, DATEDIF, NETWORKDAYS, YEAR, MONTH)</t>
        </is>
      </c>
    </row>
    <row r="3" ht="20" customHeight="1">
      <c r="B3" s="2" t="inlineStr">
        <is>
          <t xml:space="preserve">  Timeline scheduling, work-day accounting, quarterly rollups, and milestone tracking.</t>
        </is>
      </c>
    </row>
    <row r="4"/>
    <row r="5" ht="24" customHeight="1">
      <c r="B5" s="3" t="inlineStr">
        <is>
          <t>Project Task</t>
        </is>
      </c>
      <c r="C5" s="3" t="inlineStr">
        <is>
          <t>Start Date</t>
        </is>
      </c>
      <c r="D5" s="3" t="inlineStr">
        <is>
          <t>End Date</t>
        </is>
      </c>
      <c r="E5" s="3" t="inlineStr">
        <is>
          <t>Working Days</t>
        </is>
      </c>
      <c r="F5" s="3" t="inlineStr">
        <is>
          <t>Elapsed Calendar Days</t>
        </is>
      </c>
      <c r="G5" s="3" t="inlineStr">
        <is>
          <t>Quarter</t>
        </is>
      </c>
      <c r="H5" s="3" t="inlineStr">
        <is>
          <t>Completion Year</t>
        </is>
      </c>
      <c r="I5" s="3" t="inlineStr">
        <is>
          <t>Deadline Status</t>
        </is>
      </c>
    </row>
    <row r="6" ht="19" customHeight="1">
      <c r="B6" s="4" t="inlineStr">
        <is>
          <t>Discovery Phase</t>
        </is>
      </c>
      <c r="C6" s="4" t="inlineStr">
        <is>
          <t>2026-01-05</t>
        </is>
      </c>
      <c r="D6" s="4" t="inlineStr">
        <is>
          <t>2026-01-23</t>
        </is>
      </c>
      <c r="E6" s="4">
        <f>NETWORKDAYS(C6,D6)</f>
        <v/>
      </c>
      <c r="F6" s="4">
        <f>D6-C6</f>
        <v/>
      </c>
      <c r="G6" s="4">
        <f>"Q"&amp;ROUNDUP(MONTH(C6)/3,0)</f>
        <v/>
      </c>
      <c r="H6" s="4">
        <f>YEAR(D6)</f>
        <v/>
      </c>
      <c r="I6" s="4">
        <f>IF(D6&lt;TODAY(),"Completed","In Progress")</f>
        <v/>
      </c>
    </row>
    <row r="7" ht="19" customHeight="1">
      <c r="B7" s="5" t="inlineStr">
        <is>
          <t>System Architecture</t>
        </is>
      </c>
      <c r="C7" s="5" t="inlineStr">
        <is>
          <t>2026-01-26</t>
        </is>
      </c>
      <c r="D7" s="5" t="inlineStr">
        <is>
          <t>2026-02-27</t>
        </is>
      </c>
      <c r="E7" s="5">
        <f>NETWORKDAYS(C7,D7)</f>
        <v/>
      </c>
      <c r="F7" s="5">
        <f>D7-C7</f>
        <v/>
      </c>
      <c r="G7" s="5">
        <f>"Q"&amp;ROUNDUP(MONTH(C7)/3,0)</f>
        <v/>
      </c>
      <c r="H7" s="5">
        <f>YEAR(D7)</f>
        <v/>
      </c>
      <c r="I7" s="5">
        <f>IF(D7&lt;TODAY(),"Completed","In Progress")</f>
        <v/>
      </c>
    </row>
    <row r="8" ht="19" customHeight="1">
      <c r="B8" s="4" t="inlineStr">
        <is>
          <t>Core API Build</t>
        </is>
      </c>
      <c r="C8" s="4" t="inlineStr">
        <is>
          <t>2026-03-02</t>
        </is>
      </c>
      <c r="D8" s="4" t="inlineStr">
        <is>
          <t>2026-04-17</t>
        </is>
      </c>
      <c r="E8" s="4">
        <f>NETWORKDAYS(C8,D8)</f>
        <v/>
      </c>
      <c r="F8" s="4">
        <f>D8-C8</f>
        <v/>
      </c>
      <c r="G8" s="4">
        <f>"Q"&amp;ROUNDUP(MONTH(C8)/3,0)</f>
        <v/>
      </c>
      <c r="H8" s="4">
        <f>YEAR(D8)</f>
        <v/>
      </c>
      <c r="I8" s="4">
        <f>IF(D8&lt;TODAY(),"Completed","In Progress")</f>
        <v/>
      </c>
    </row>
    <row r="9" ht="19" customHeight="1">
      <c r="B9" s="5" t="inlineStr">
        <is>
          <t>Frontend Integration</t>
        </is>
      </c>
      <c r="C9" s="5" t="inlineStr">
        <is>
          <t>2026-04-20</t>
        </is>
      </c>
      <c r="D9" s="5" t="inlineStr">
        <is>
          <t>2026-05-29</t>
        </is>
      </c>
      <c r="E9" s="5">
        <f>NETWORKDAYS(C9,D9)</f>
        <v/>
      </c>
      <c r="F9" s="5">
        <f>D9-C9</f>
        <v/>
      </c>
      <c r="G9" s="5">
        <f>"Q"&amp;ROUNDUP(MONTH(C9)/3,0)</f>
        <v/>
      </c>
      <c r="H9" s="5">
        <f>YEAR(D9)</f>
        <v/>
      </c>
      <c r="I9" s="5">
        <f>IF(D9&lt;TODAY(),"Completed","In Progress")</f>
        <v/>
      </c>
    </row>
    <row r="10" ht="19" customHeight="1">
      <c r="B10" s="4" t="inlineStr">
        <is>
          <t>QA &amp; Stress Testing</t>
        </is>
      </c>
      <c r="C10" s="4" t="inlineStr">
        <is>
          <t>2026-06-01</t>
        </is>
      </c>
      <c r="D10" s="4" t="inlineStr">
        <is>
          <t>2026-06-30</t>
        </is>
      </c>
      <c r="E10" s="4">
        <f>NETWORKDAYS(C10,D10)</f>
        <v/>
      </c>
      <c r="F10" s="4">
        <f>D10-C10</f>
        <v/>
      </c>
      <c r="G10" s="4">
        <f>"Q"&amp;ROUNDUP(MONTH(C10)/3,0)</f>
        <v/>
      </c>
      <c r="H10" s="4">
        <f>YEAR(D10)</f>
        <v/>
      </c>
      <c r="I10" s="4">
        <f>IF(D10&lt;TODAY(),"Completed","In Progress")</f>
        <v/>
      </c>
    </row>
    <row r="11" ht="19" customHeight="1">
      <c r="B11" s="5" t="inlineStr">
        <is>
          <t>Production Rollout</t>
        </is>
      </c>
      <c r="C11" s="5" t="inlineStr">
        <is>
          <t>2026-07-06</t>
        </is>
      </c>
      <c r="D11" s="5" t="inlineStr">
        <is>
          <t>2026-07-24</t>
        </is>
      </c>
      <c r="E11" s="5">
        <f>NETWORKDAYS(C11,D11)</f>
        <v/>
      </c>
      <c r="F11" s="5">
        <f>D11-C11</f>
        <v/>
      </c>
      <c r="G11" s="5">
        <f>"Q"&amp;ROUNDUP(MONTH(C11)/3,0)</f>
        <v/>
      </c>
      <c r="H11" s="5">
        <f>YEAR(D11)</f>
        <v/>
      </c>
      <c r="I11" s="5">
        <f>IF(D11&lt;TODAY(),"Completed","In Progress")</f>
        <v/>
      </c>
    </row>
    <row r="12" ht="22" customHeight="1">
      <c r="B12" s="6" t="inlineStr">
        <is>
          <t>Total Duration</t>
        </is>
      </c>
      <c r="C12" s="6" t="inlineStr"/>
      <c r="D12" s="6" t="inlineStr"/>
      <c r="E12" s="7">
        <f>SUM(E6:E11)</f>
        <v/>
      </c>
      <c r="F12" s="7">
        <f>SUM(F6:F11)</f>
        <v/>
      </c>
      <c r="G12" s="6" t="inlineStr"/>
      <c r="H12" s="6" t="inlineStr"/>
      <c r="I12" s="6" t="inlineStr"/>
    </row>
  </sheetData>
  <mergeCells count="2">
    <mergeCell ref="B3:I3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2026-09-22T05:04:42Z</dcterms:created>
  <dcterms:modified xmlns:dcterms="http://purl.org/dc/terms/" xmlns:xsi="http://www.w3.org/2001/XMLSchema-instance" xsi:type="dcterms:W3CDTF">2026-09-22T05:04:42Z</dcterms:modified>
</cp:coreProperties>
</file>