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color rgb="00000000"/>
      <sz val="10"/>
    </font>
    <font>
      <b val="1"/>
      <color rgb="000E625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E6251"/>
        <bgColor rgb="000E6251"/>
      </patternFill>
    </fill>
    <fill>
      <patternFill patternType="solid">
        <fgColor rgb="00117864"/>
        <bgColor rgb="00117864"/>
      </patternFill>
    </fill>
    <fill>
      <patternFill patternType="solid">
        <fgColor rgb="00E8F8F5"/>
        <bgColor rgb="00E8F8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/>
    </xf>
    <xf numFmtId="0" fontId="5" fillId="0" borderId="0" pivotButton="0" quotePrefix="0" xfId="0"/>
    <xf numFmtId="0" fontId="6" fillId="3" borderId="0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2" customWidth="1" min="3" max="3"/>
    <col width="12" customWidth="1" min="4" max="4"/>
    <col width="12" customWidth="1" min="5" max="5"/>
    <col width="16" customWidth="1" min="6" max="6"/>
    <col width="32" customWidth="1" min="7" max="7"/>
  </cols>
  <sheetData>
    <row r="1"/>
    <row r="2" ht="30" customHeight="1">
      <c r="B2" s="1" t="inlineStr">
        <is>
          <t xml:space="preserve">  DAY 13: EXECUTIVE KPI DASHBOARD DESIGN</t>
        </is>
      </c>
    </row>
    <row r="3" ht="20" customHeight="1">
      <c r="B3" s="2" t="inlineStr">
        <is>
          <t xml:space="preserve">  High-level reporting deck with metric status cards, operational variances, and health indicators.</t>
        </is>
      </c>
    </row>
    <row r="4"/>
    <row r="5" ht="24" customHeight="1">
      <c r="B5" s="3" t="inlineStr">
        <is>
          <t>KPI Metric</t>
        </is>
      </c>
      <c r="C5" s="3" t="inlineStr">
        <is>
          <t>Target</t>
        </is>
      </c>
      <c r="D5" s="3" t="inlineStr">
        <is>
          <t>Actual</t>
        </is>
      </c>
      <c r="E5" s="3" t="inlineStr">
        <is>
          <t>Variance</t>
        </is>
      </c>
      <c r="F5" s="3" t="inlineStr">
        <is>
          <t>Attainment %</t>
        </is>
      </c>
      <c r="G5" s="3" t="inlineStr">
        <is>
          <t>Status</t>
        </is>
      </c>
    </row>
    <row r="6" ht="19" customHeight="1">
      <c r="B6" s="4" t="inlineStr">
        <is>
          <t>Total Annual Revenue ($)</t>
        </is>
      </c>
      <c r="C6" s="5" t="n">
        <v>1200000</v>
      </c>
      <c r="D6" s="5" t="n">
        <v>1345000</v>
      </c>
      <c r="E6" s="4">
        <f>D6-C6</f>
        <v/>
      </c>
      <c r="F6" s="4">
        <f>D6/C6</f>
        <v/>
      </c>
      <c r="G6" s="4">
        <f>IF(E6&gt;=0,"Ahead","Behind")</f>
        <v/>
      </c>
    </row>
    <row r="7" ht="19" customHeight="1">
      <c r="B7" s="6" t="inlineStr">
        <is>
          <t>Customer Acquisition (#)</t>
        </is>
      </c>
      <c r="C7" s="7" t="n">
        <v>850</v>
      </c>
      <c r="D7" s="7" t="n">
        <v>920</v>
      </c>
      <c r="E7" s="6">
        <f>D7-C7</f>
        <v/>
      </c>
      <c r="F7" s="6">
        <f>D7/C7</f>
        <v/>
      </c>
      <c r="G7" s="6">
        <f>IF(E7&gt;=0,"Ahead","Behind")</f>
        <v/>
      </c>
    </row>
    <row r="8" ht="19" customHeight="1">
      <c r="B8" s="4" t="inlineStr">
        <is>
          <t>Net Churn Rate (%)</t>
        </is>
      </c>
      <c r="C8" s="5" t="n">
        <v>0.05</v>
      </c>
      <c r="D8" s="5" t="n">
        <v>0.038</v>
      </c>
      <c r="E8" s="4">
        <f>C8-D8</f>
        <v/>
      </c>
      <c r="F8" s="4">
        <f>D8/C8</f>
        <v/>
      </c>
      <c r="G8" s="4">
        <f>IF(E8&lt;=0,"Ahead","Behind")</f>
        <v/>
      </c>
    </row>
    <row r="9" ht="19" customHeight="1">
      <c r="B9" s="6" t="inlineStr">
        <is>
          <t>Customer Satisfaction (CSAT)</t>
        </is>
      </c>
      <c r="C9" s="7" t="n">
        <v>90</v>
      </c>
      <c r="D9" s="7" t="n">
        <v>94.5</v>
      </c>
      <c r="E9" s="6">
        <f>D9-C9</f>
        <v/>
      </c>
      <c r="F9" s="6">
        <f>D9/C9</f>
        <v/>
      </c>
      <c r="G9" s="6">
        <f>IF(E9&gt;=0,"Ahead","Behind")</f>
        <v/>
      </c>
    </row>
    <row r="10" ht="19" customHeight="1">
      <c r="B10" s="4" t="inlineStr">
        <is>
          <t>Average Order Value ($)</t>
        </is>
      </c>
      <c r="C10" s="5" t="n">
        <v>350</v>
      </c>
      <c r="D10" s="5" t="n">
        <v>385</v>
      </c>
      <c r="E10" s="4">
        <f>D10-C10</f>
        <v/>
      </c>
      <c r="F10" s="4">
        <f>D10/C10</f>
        <v/>
      </c>
      <c r="G10" s="4">
        <f>IF(E10&gt;=0,"Ahead","Behind")</f>
        <v/>
      </c>
    </row>
    <row r="13">
      <c r="B13" s="8" t="inlineStr">
        <is>
          <t>Regional Revenue Share</t>
        </is>
      </c>
    </row>
    <row r="15">
      <c r="B15" s="9" t="inlineStr">
        <is>
          <t>Territory</t>
        </is>
      </c>
      <c r="C15" s="9" t="inlineStr">
        <is>
          <t>Q1 Actual ($)</t>
        </is>
      </c>
      <c r="D15" s="9" t="inlineStr">
        <is>
          <t>Q2 Actual ($)</t>
        </is>
      </c>
      <c r="E15" s="9" t="inlineStr">
        <is>
          <t>Q3 Actual ($)</t>
        </is>
      </c>
      <c r="F15" s="9" t="inlineStr">
        <is>
          <t>Q4 Actual ($)</t>
        </is>
      </c>
      <c r="G15" s="9" t="inlineStr">
        <is>
          <t>Annual Total ($)</t>
        </is>
      </c>
    </row>
    <row r="16">
      <c r="B16" s="10" t="inlineStr">
        <is>
          <t>Americas</t>
        </is>
      </c>
      <c r="C16" s="10" t="n">
        <v>180000</v>
      </c>
      <c r="D16" s="10" t="n">
        <v>210000</v>
      </c>
      <c r="E16" s="10" t="n">
        <v>235000</v>
      </c>
      <c r="F16" s="10" t="n">
        <v>265000</v>
      </c>
      <c r="G16" s="10">
        <f>SUM(C16:F16)</f>
        <v/>
      </c>
    </row>
    <row r="17">
      <c r="B17" s="10" t="inlineStr">
        <is>
          <t>EMEA</t>
        </is>
      </c>
      <c r="C17" s="10" t="n">
        <v>120000</v>
      </c>
      <c r="D17" s="10" t="n">
        <v>135000</v>
      </c>
      <c r="E17" s="10" t="n">
        <v>148000</v>
      </c>
      <c r="F17" s="10" t="n">
        <v>162000</v>
      </c>
      <c r="G17" s="10">
        <f>SUM(C17:F17)</f>
        <v/>
      </c>
    </row>
    <row r="18">
      <c r="B18" s="10" t="inlineStr">
        <is>
          <t>APAC</t>
        </is>
      </c>
      <c r="C18" s="10" t="n">
        <v>95000</v>
      </c>
      <c r="D18" s="10" t="n">
        <v>115000</v>
      </c>
      <c r="E18" s="10" t="n">
        <v>130000</v>
      </c>
      <c r="F18" s="10" t="n">
        <v>145000</v>
      </c>
      <c r="G18" s="10">
        <f>SUM(C18:F18)</f>
        <v/>
      </c>
    </row>
  </sheetData>
  <mergeCells count="2">
    <mergeCell ref="B3:G3"/>
    <mergeCell ref="B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2026-09-22T05:04:42Z</dcterms:created>
  <dcterms:modified xmlns:dcterms="http://purl.org/dc/terms/" xmlns:xsi="http://www.w3.org/2001/XMLSchema-instance" xsi:type="dcterms:W3CDTF">2026-09-22T05:04:42Z</dcterms:modified>
</cp:coreProperties>
</file>