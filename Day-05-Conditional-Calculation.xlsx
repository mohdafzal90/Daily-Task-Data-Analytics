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IF, COUNTIF, AVERAGE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4A6572"/>
        <bgColor rgb="004A6572"/>
      </patternFill>
    </fill>
    <fill>
      <patternFill patternType="solid">
        <fgColor rgb="00ECEFF1"/>
        <bgColor rgb="00ECEFF1"/>
      </patternFill>
    </fill>
    <fill>
      <patternFill patternType="solid">
        <fgColor rgb="00CFD8DC"/>
        <bgColor rgb="00CFD8D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6" fillId="2" borderId="0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9" customWidth="1" min="3" max="3"/>
    <col width="22" customWidth="1" min="4" max="4"/>
    <col width="17" customWidth="1" min="5" max="5"/>
    <col width="16" customWidth="1" min="6" max="6"/>
    <col width="14" customWidth="1" min="7" max="7"/>
  </cols>
  <sheetData>
    <row r="1"/>
    <row r="2" ht="30" customHeight="1">
      <c r="B2" s="1" t="inlineStr">
        <is>
          <t xml:space="preserve">  DAY 5: CONDITIONAL CALCULATIONS (SUMIF, COUNTIF, AVERAGEIFS)</t>
        </is>
      </c>
    </row>
    <row r="3" ht="20" customHeight="1">
      <c r="B3" s="2" t="inlineStr">
        <is>
          <t xml:space="preserve">  Aggregating targeted metrics conditionally based on department, geography, or cost threshold.</t>
        </is>
      </c>
    </row>
    <row r="4"/>
    <row r="5" ht="24" customHeight="1">
      <c r="B5" s="3" t="inlineStr">
        <is>
          <t>Transaction ID</t>
        </is>
      </c>
      <c r="C5" s="3" t="inlineStr">
        <is>
          <t>Department</t>
        </is>
      </c>
      <c r="D5" s="3" t="inlineStr">
        <is>
          <t>Expense Type</t>
        </is>
      </c>
      <c r="E5" s="3" t="inlineStr">
        <is>
          <t>Location</t>
        </is>
      </c>
      <c r="F5" s="3" t="inlineStr">
        <is>
          <t>Amount ($)</t>
        </is>
      </c>
      <c r="G5" s="3" t="inlineStr">
        <is>
          <t>Approver</t>
        </is>
      </c>
      <c r="H5" s="4" t="inlineStr">
        <is>
          <t>Department Summary</t>
        </is>
      </c>
      <c r="I5" s="4" t="inlineStr">
        <is>
          <t>Total Spend ($)</t>
        </is>
      </c>
    </row>
    <row r="6" ht="19" customHeight="1">
      <c r="B6" s="5" t="inlineStr">
        <is>
          <t>TRX-201</t>
        </is>
      </c>
      <c r="C6" s="5" t="inlineStr">
        <is>
          <t>Engineering</t>
        </is>
      </c>
      <c r="D6" s="5" t="inlineStr">
        <is>
          <t>Software License</t>
        </is>
      </c>
      <c r="E6" s="5" t="inlineStr">
        <is>
          <t>Headquarters</t>
        </is>
      </c>
      <c r="F6" s="6" t="n">
        <v>1450</v>
      </c>
      <c r="G6" s="5" t="inlineStr">
        <is>
          <t>Director A</t>
        </is>
      </c>
      <c r="H6" t="inlineStr">
        <is>
          <t>Engineering</t>
        </is>
      </c>
      <c r="I6">
        <f>SUMIF(C6:C13, "Engineering", F6:F13)</f>
        <v/>
      </c>
    </row>
    <row r="7" ht="19" customHeight="1">
      <c r="B7" s="7" t="inlineStr">
        <is>
          <t>TRX-202</t>
        </is>
      </c>
      <c r="C7" s="7" t="inlineStr">
        <is>
          <t>Marketing</t>
        </is>
      </c>
      <c r="D7" s="7" t="inlineStr">
        <is>
          <t>Digital Ads</t>
        </is>
      </c>
      <c r="E7" s="7" t="inlineStr">
        <is>
          <t>Remote</t>
        </is>
      </c>
      <c r="F7" s="8" t="n">
        <v>3200</v>
      </c>
      <c r="G7" s="7" t="inlineStr">
        <is>
          <t>Director B</t>
        </is>
      </c>
      <c r="H7" t="inlineStr">
        <is>
          <t>Marketing</t>
        </is>
      </c>
      <c r="I7">
        <f>SUMIF(C6:C13, "Marketing", F6:F13)</f>
        <v/>
      </c>
    </row>
    <row r="8" ht="19" customHeight="1">
      <c r="B8" s="5" t="inlineStr">
        <is>
          <t>TRX-203</t>
        </is>
      </c>
      <c r="C8" s="5" t="inlineStr">
        <is>
          <t>Engineering</t>
        </is>
      </c>
      <c r="D8" s="5" t="inlineStr">
        <is>
          <t>Hardware Upgrades</t>
        </is>
      </c>
      <c r="E8" s="5" t="inlineStr">
        <is>
          <t>Headquarters</t>
        </is>
      </c>
      <c r="F8" s="6" t="n">
        <v>4800</v>
      </c>
      <c r="G8" s="5" t="inlineStr">
        <is>
          <t>Director A</t>
        </is>
      </c>
      <c r="H8" t="inlineStr">
        <is>
          <t>Sales</t>
        </is>
      </c>
      <c r="I8">
        <f>SUMIF(C6:C13, "Sales", F6:F13)</f>
        <v/>
      </c>
    </row>
    <row r="9" ht="19" customHeight="1">
      <c r="B9" s="7" t="inlineStr">
        <is>
          <t>TRX-204</t>
        </is>
      </c>
      <c r="C9" s="7" t="inlineStr">
        <is>
          <t>Human Resources</t>
        </is>
      </c>
      <c r="D9" s="7" t="inlineStr">
        <is>
          <t>Training Seminar</t>
        </is>
      </c>
      <c r="E9" s="7" t="inlineStr">
        <is>
          <t>Headquarters</t>
        </is>
      </c>
      <c r="F9" s="8" t="n">
        <v>950</v>
      </c>
      <c r="G9" s="7" t="inlineStr">
        <is>
          <t>Director C</t>
        </is>
      </c>
      <c r="H9" t="inlineStr">
        <is>
          <t>Human Resources</t>
        </is>
      </c>
      <c r="I9">
        <f>SUMIF(C6:C13, "Human Resources", F6:F13)</f>
        <v/>
      </c>
    </row>
    <row r="10" ht="19" customHeight="1">
      <c r="B10" s="5" t="inlineStr">
        <is>
          <t>TRX-205</t>
        </is>
      </c>
      <c r="C10" s="5" t="inlineStr">
        <is>
          <t>Marketing</t>
        </is>
      </c>
      <c r="D10" s="5" t="inlineStr">
        <is>
          <t>Content Production</t>
        </is>
      </c>
      <c r="E10" s="5" t="inlineStr">
        <is>
          <t>Branch Office</t>
        </is>
      </c>
      <c r="F10" s="6" t="n">
        <v>2100</v>
      </c>
      <c r="G10" s="5" t="inlineStr">
        <is>
          <t>Director B</t>
        </is>
      </c>
    </row>
    <row r="11" ht="19" customHeight="1">
      <c r="B11" s="7" t="inlineStr">
        <is>
          <t>TRX-206</t>
        </is>
      </c>
      <c r="C11" s="7" t="inlineStr">
        <is>
          <t>Sales</t>
        </is>
      </c>
      <c r="D11" s="7" t="inlineStr">
        <is>
          <t>Client Dinner</t>
        </is>
      </c>
      <c r="E11" s="7" t="inlineStr">
        <is>
          <t>Branch Office</t>
        </is>
      </c>
      <c r="F11" s="8" t="n">
        <v>620</v>
      </c>
      <c r="G11" s="7" t="inlineStr">
        <is>
          <t>Director D</t>
        </is>
      </c>
    </row>
    <row r="12" ht="19" customHeight="1">
      <c r="B12" s="5" t="inlineStr">
        <is>
          <t>TRX-207</t>
        </is>
      </c>
      <c r="C12" s="5" t="inlineStr">
        <is>
          <t>Engineering</t>
        </is>
      </c>
      <c r="D12" s="5" t="inlineStr">
        <is>
          <t>Cloud Hosting</t>
        </is>
      </c>
      <c r="E12" s="5" t="inlineStr">
        <is>
          <t>Remote</t>
        </is>
      </c>
      <c r="F12" s="6" t="n">
        <v>5400</v>
      </c>
      <c r="G12" s="5" t="inlineStr">
        <is>
          <t>Director A</t>
        </is>
      </c>
    </row>
    <row r="13" ht="19" customHeight="1">
      <c r="B13" s="7" t="inlineStr">
        <is>
          <t>TRX-208</t>
        </is>
      </c>
      <c r="C13" s="7" t="inlineStr">
        <is>
          <t>Sales</t>
        </is>
      </c>
      <c r="D13" s="7" t="inlineStr">
        <is>
          <t>Travel Flights</t>
        </is>
      </c>
      <c r="E13" s="7" t="inlineStr">
        <is>
          <t>Branch Office</t>
        </is>
      </c>
      <c r="F13" s="8" t="n">
        <v>1750</v>
      </c>
      <c r="G13" s="7" t="inlineStr">
        <is>
          <t>Director D</t>
        </is>
      </c>
    </row>
    <row r="14" ht="22" customHeight="1">
      <c r="B14" s="9" t="inlineStr">
        <is>
          <t>Total Spent</t>
        </is>
      </c>
      <c r="C14" s="9" t="inlineStr"/>
      <c r="D14" s="9" t="inlineStr"/>
      <c r="E14" s="9" t="inlineStr"/>
      <c r="F14" s="10">
        <f>SUM(E6:E13)</f>
        <v/>
      </c>
      <c r="G14" s="9" t="inlineStr"/>
    </row>
  </sheetData>
  <mergeCells count="2">
    <mergeCell ref="B3:G3"/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2026-09-22T05:04:42Z</dcterms:created>
  <dcterms:modified xmlns:dcterms="http://purl.org/dc/terms/" xmlns:xsi="http://www.w3.org/2001/XMLSchema-instance" xsi:type="dcterms:W3CDTF">2026-09-22T05:04:42Z</dcterms:modified>
</cp:coreProperties>
</file>