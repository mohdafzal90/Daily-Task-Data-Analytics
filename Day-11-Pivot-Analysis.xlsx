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d Fields &amp; Sli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4A6572"/>
        <bgColor rgb="004A6572"/>
      </patternFill>
    </fill>
    <fill>
      <patternFill patternType="solid">
        <fgColor rgb="00ECEFF1"/>
        <bgColor rgb="00ECEFF1"/>
      </patternFill>
    </fill>
    <fill>
      <patternFill patternType="solid">
        <fgColor rgb="00CFD8DC"/>
        <bgColor rgb="00CFD8D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9" customWidth="1" min="3" max="3"/>
    <col width="26" customWidth="1" min="4" max="4"/>
    <col width="20" customWidth="1" min="5" max="5"/>
    <col width="18" customWidth="1" min="6" max="6"/>
    <col width="30" customWidth="1" min="7" max="7"/>
  </cols>
  <sheetData>
    <row r="1"/>
    <row r="2" ht="30" customHeight="1">
      <c r="B2" s="1" t="inlineStr">
        <is>
          <t xml:space="preserve">  DAY 11: ADVANCED PIVOT ANALYSIS &amp; CALCULATED FIELDS</t>
        </is>
      </c>
    </row>
    <row r="3" ht="20" customHeight="1">
      <c r="B3" s="2" t="inlineStr">
        <is>
          <t xml:space="preserve">  Calculated fields, % of grand total, running totals, and profitability metrics.</t>
        </is>
      </c>
    </row>
    <row r="4"/>
    <row r="5" ht="24" customHeight="1">
      <c r="B5" s="3" t="inlineStr">
        <is>
          <t>Product Line</t>
        </is>
      </c>
      <c r="C5" s="3" t="inlineStr">
        <is>
          <t>Total Sales ($)</t>
        </is>
      </c>
      <c r="D5" s="3" t="inlineStr">
        <is>
          <t>Cost of Goods Sold ($)</t>
        </is>
      </c>
      <c r="E5" s="3" t="inlineStr">
        <is>
          <t>Gross Margin ($)</t>
        </is>
      </c>
      <c r="F5" s="3" t="inlineStr">
        <is>
          <t>Gross Margin %</t>
        </is>
      </c>
      <c r="G5" s="3" t="inlineStr">
        <is>
          <t>% of Total Portfolio Sales</t>
        </is>
      </c>
    </row>
    <row r="6" ht="19" customHeight="1">
      <c r="B6" s="4" t="inlineStr">
        <is>
          <t>Cloud Infrastructure</t>
        </is>
      </c>
      <c r="C6" s="5" t="n">
        <v>450000</v>
      </c>
      <c r="D6" s="5" t="n">
        <v>180000</v>
      </c>
      <c r="E6" s="4">
        <f>C6-D6</f>
        <v/>
      </c>
      <c r="F6" s="4">
        <f>E6/C6</f>
        <v/>
      </c>
      <c r="G6" s="4">
        <f>C6/$C$11</f>
        <v/>
      </c>
    </row>
    <row r="7" ht="19" customHeight="1">
      <c r="B7" s="6" t="inlineStr">
        <is>
          <t>Cybersecurity Suites</t>
        </is>
      </c>
      <c r="C7" s="7" t="n">
        <v>320000</v>
      </c>
      <c r="D7" s="7" t="n">
        <v>110000</v>
      </c>
      <c r="E7" s="6">
        <f>C7-D7</f>
        <v/>
      </c>
      <c r="F7" s="6">
        <f>E7/C7</f>
        <v/>
      </c>
      <c r="G7" s="6">
        <f>C7/$C$11</f>
        <v/>
      </c>
    </row>
    <row r="8" ht="19" customHeight="1">
      <c r="B8" s="4" t="inlineStr">
        <is>
          <t>Enterprise ERP</t>
        </is>
      </c>
      <c r="C8" s="5" t="n">
        <v>680000</v>
      </c>
      <c r="D8" s="5" t="n">
        <v>310000</v>
      </c>
      <c r="E8" s="4">
        <f>C8-D8</f>
        <v/>
      </c>
      <c r="F8" s="4">
        <f>E8/C8</f>
        <v/>
      </c>
      <c r="G8" s="4">
        <f>C8/$C$11</f>
        <v/>
      </c>
    </row>
    <row r="9" ht="19" customHeight="1">
      <c r="B9" s="6" t="inlineStr">
        <is>
          <t>SaaS Collaboration</t>
        </is>
      </c>
      <c r="C9" s="7" t="n">
        <v>210000</v>
      </c>
      <c r="D9" s="7" t="n">
        <v>65000</v>
      </c>
      <c r="E9" s="6">
        <f>C9-D9</f>
        <v/>
      </c>
      <c r="F9" s="6">
        <f>E9/C9</f>
        <v/>
      </c>
      <c r="G9" s="6">
        <f>C9/$C$11</f>
        <v/>
      </c>
    </row>
    <row r="10" ht="19" customHeight="1">
      <c r="B10" s="4" t="inlineStr">
        <is>
          <t>AI Analytics Tools</t>
        </is>
      </c>
      <c r="C10" s="5" t="n">
        <v>390000</v>
      </c>
      <c r="D10" s="5" t="n">
        <v>140000</v>
      </c>
      <c r="E10" s="4">
        <f>C10-D10</f>
        <v/>
      </c>
      <c r="F10" s="4">
        <f>E10/C10</f>
        <v/>
      </c>
      <c r="G10" s="4">
        <f>C10/$C$11</f>
        <v/>
      </c>
    </row>
    <row r="11" ht="22" customHeight="1">
      <c r="B11" s="8" t="inlineStr">
        <is>
          <t>Total Portfolio</t>
        </is>
      </c>
      <c r="C11" s="9">
        <f>SUM(C6:C10)</f>
        <v/>
      </c>
      <c r="D11" s="9">
        <f>SUM(D6:D10)</f>
        <v/>
      </c>
      <c r="E11" s="9">
        <f>SUM(E6:E10)</f>
        <v/>
      </c>
      <c r="F11" s="9">
        <f>E11/C11</f>
        <v/>
      </c>
      <c r="G11" s="9">
        <f>SUM(G6:G10)</f>
        <v/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