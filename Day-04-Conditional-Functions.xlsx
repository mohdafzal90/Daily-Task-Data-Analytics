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 &amp; IF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512E5F"/>
        <bgColor rgb="00512E5F"/>
      </patternFill>
    </fill>
    <fill>
      <patternFill patternType="solid">
        <fgColor rgb="006C3483"/>
        <bgColor rgb="006C3483"/>
      </patternFill>
    </fill>
    <fill>
      <patternFill patternType="solid">
        <fgColor rgb="00F5EEF8"/>
        <bgColor rgb="00F5EEF8"/>
      </patternFill>
    </fill>
    <fill>
      <patternFill patternType="solid">
        <fgColor rgb="00EBDEF0"/>
        <bgColor rgb="00EBDEF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7" customWidth="1" min="3" max="3"/>
    <col width="20" customWidth="1" min="4" max="4"/>
    <col width="20" customWidth="1" min="5" max="5"/>
    <col width="20" customWidth="1" min="6" max="6"/>
    <col width="37" customWidth="1" min="7" max="7"/>
    <col width="73" customWidth="1" min="8" max="8"/>
    <col width="45" customWidth="1" min="9" max="9"/>
  </cols>
  <sheetData>
    <row r="1"/>
    <row r="2" ht="30" customHeight="1">
      <c r="B2" s="1" t="inlineStr">
        <is>
          <t xml:space="preserve">  DAY 4: LOGICAL FUNCTIONS (IF, NESTED IF, IFS, AND, OR)</t>
        </is>
      </c>
    </row>
    <row r="3" ht="20" customHeight="1">
      <c r="B3" s="2" t="inlineStr">
        <is>
          <t xml:space="preserve">  Decision-making formulas to calculate tiers, conditional quotas, and performance incentives.</t>
        </is>
      </c>
    </row>
    <row r="4"/>
    <row r="5" ht="24" customHeight="1">
      <c r="B5" s="3" t="inlineStr">
        <is>
          <t>Employee ID</t>
        </is>
      </c>
      <c r="C5" s="3" t="inlineStr">
        <is>
          <t>Employee Name</t>
        </is>
      </c>
      <c r="D5" s="3" t="inlineStr">
        <is>
          <t>Sales Target ($)</t>
        </is>
      </c>
      <c r="E5" s="3" t="inlineStr">
        <is>
          <t>Actual Sales ($)</t>
        </is>
      </c>
      <c r="F5" s="3" t="inlineStr">
        <is>
          <t>% Target</t>
        </is>
      </c>
      <c r="G5" s="3" t="inlineStr">
        <is>
          <t>Base Commission</t>
        </is>
      </c>
      <c r="H5" s="3" t="inlineStr">
        <is>
          <t>Bonus Tier</t>
        </is>
      </c>
      <c r="I5" s="3" t="inlineStr">
        <is>
          <t>Total Payout ($)</t>
        </is>
      </c>
    </row>
    <row r="6" ht="19" customHeight="1">
      <c r="B6" s="4" t="inlineStr">
        <is>
          <t>EMP-101</t>
        </is>
      </c>
      <c r="C6" s="4" t="inlineStr">
        <is>
          <t>Marcus Vance</t>
        </is>
      </c>
      <c r="D6" s="5" t="n">
        <v>50000</v>
      </c>
      <c r="E6" s="5" t="n">
        <v>62000</v>
      </c>
      <c r="F6" s="4">
        <f>D6/C6</f>
        <v/>
      </c>
      <c r="G6" s="4">
        <f>IF(D6&gt;=C6, D6*0.05, D6*0.02)</f>
        <v/>
      </c>
      <c r="H6" s="4">
        <f>IFS(E6&gt;=1.2,"High Bonus",E6&gt;=1.0,"Standard Bonus",TRUE,"No Bonus")</f>
        <v/>
      </c>
      <c r="I6" s="4">
        <f>F6+IF(E6&gt;=1.2,1500,IF(E6&gt;=1.0,500,0))</f>
        <v/>
      </c>
    </row>
    <row r="7" ht="19" customHeight="1">
      <c r="B7" s="6" t="inlineStr">
        <is>
          <t>EMP-102</t>
        </is>
      </c>
      <c r="C7" s="6" t="inlineStr">
        <is>
          <t>Elena Rostova</t>
        </is>
      </c>
      <c r="D7" s="7" t="n">
        <v>45000</v>
      </c>
      <c r="E7" s="7" t="n">
        <v>41000</v>
      </c>
      <c r="F7" s="6">
        <f>D7/C7</f>
        <v/>
      </c>
      <c r="G7" s="6">
        <f>IF(D7&gt;=C7, D7*0.05, D7*0.02)</f>
        <v/>
      </c>
      <c r="H7" s="6">
        <f>IFS(E7&gt;=1.2,"High Bonus",E7&gt;=1.0,"Standard Bonus",TRUE,"No Bonus")</f>
        <v/>
      </c>
      <c r="I7" s="6">
        <f>F7+IF(E7&gt;=1.2,1500,IF(E7&gt;=1.0,500,0))</f>
        <v/>
      </c>
    </row>
    <row r="8" ht="19" customHeight="1">
      <c r="B8" s="4" t="inlineStr">
        <is>
          <t>EMP-103</t>
        </is>
      </c>
      <c r="C8" s="4" t="inlineStr">
        <is>
          <t>Kavita Patel</t>
        </is>
      </c>
      <c r="D8" s="5" t="n">
        <v>60000</v>
      </c>
      <c r="E8" s="5" t="n">
        <v>78000</v>
      </c>
      <c r="F8" s="4">
        <f>D8/C8</f>
        <v/>
      </c>
      <c r="G8" s="4">
        <f>IF(D8&gt;=C8, D8*0.05, D8*0.02)</f>
        <v/>
      </c>
      <c r="H8" s="4">
        <f>IFS(E8&gt;=1.2,"High Bonus",E8&gt;=1.0,"Standard Bonus",TRUE,"No Bonus")</f>
        <v/>
      </c>
      <c r="I8" s="4">
        <f>F8+IF(E8&gt;=1.2,1500,IF(E8&gt;=1.0,500,0))</f>
        <v/>
      </c>
    </row>
    <row r="9" ht="19" customHeight="1">
      <c r="B9" s="6" t="inlineStr">
        <is>
          <t>EMP-104</t>
        </is>
      </c>
      <c r="C9" s="6" t="inlineStr">
        <is>
          <t>Lucas Silva</t>
        </is>
      </c>
      <c r="D9" s="7" t="n">
        <v>55000</v>
      </c>
      <c r="E9" s="7" t="n">
        <v>54500</v>
      </c>
      <c r="F9" s="6">
        <f>D9/C9</f>
        <v/>
      </c>
      <c r="G9" s="6">
        <f>IF(D9&gt;=C9, D9*0.05, D9*0.02)</f>
        <v/>
      </c>
      <c r="H9" s="6">
        <f>IFS(E9&gt;=1.2,"High Bonus",E9&gt;=1.0,"Standard Bonus",TRUE,"No Bonus")</f>
        <v/>
      </c>
      <c r="I9" s="6">
        <f>F9+IF(E9&gt;=1.2,1500,IF(E9&gt;=1.0,500,0))</f>
        <v/>
      </c>
    </row>
    <row r="10" ht="19" customHeight="1">
      <c r="B10" s="4" t="inlineStr">
        <is>
          <t>EMP-105</t>
        </is>
      </c>
      <c r="C10" s="4" t="inlineStr">
        <is>
          <t>Chloe Bennett</t>
        </is>
      </c>
      <c r="D10" s="5" t="n">
        <v>40000</v>
      </c>
      <c r="E10" s="5" t="n">
        <v>51000</v>
      </c>
      <c r="F10" s="4">
        <f>D10/C10</f>
        <v/>
      </c>
      <c r="G10" s="4">
        <f>IF(D10&gt;=C10, D10*0.05, D10*0.02)</f>
        <v/>
      </c>
      <c r="H10" s="4">
        <f>IFS(E10&gt;=1.2,"High Bonus",E10&gt;=1.0,"Standard Bonus",TRUE,"No Bonus")</f>
        <v/>
      </c>
      <c r="I10" s="4">
        <f>F10+IF(E10&gt;=1.2,1500,IF(E10&gt;=1.0,500,0))</f>
        <v/>
      </c>
    </row>
    <row r="11" ht="22" customHeight="1">
      <c r="B11" s="8" t="inlineStr">
        <is>
          <t>Total / Avg</t>
        </is>
      </c>
      <c r="C11" s="8" t="inlineStr"/>
      <c r="D11" s="9">
        <f>SUM(C6:C10)</f>
        <v/>
      </c>
      <c r="E11" s="9">
        <f>SUM(D6:D10)</f>
        <v/>
      </c>
      <c r="F11" s="9">
        <f>AVERAGE(E6:E10)</f>
        <v/>
      </c>
      <c r="G11" s="9">
        <f>SUM(F6:F10)</f>
        <v/>
      </c>
      <c r="H11" s="8" t="inlineStr"/>
      <c r="I11" s="9">
        <f>SUM(H6:H10)</f>
        <v/>
      </c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2026-09-22T05:04:42Z</dcterms:created>
  <dcterms:modified xmlns:dcterms="http://purl.org/dc/terms/" xmlns:xsi="http://www.w3.org/2001/XMLSchema-instance" xsi:type="dcterms:W3CDTF">2026-09-22T05:04:42Z</dcterms:modified>
</cp:coreProperties>
</file>