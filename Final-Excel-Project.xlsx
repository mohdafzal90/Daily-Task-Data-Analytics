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nsaction Master" sheetId="2" state="visible" r:id="rId2"/>
    <sheet xmlns:r="http://schemas.openxmlformats.org/officeDocument/2006/relationships" name="Product 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B2631"/>
        <bgColor rgb="001B2631"/>
      </patternFill>
    </fill>
    <fill>
      <patternFill patternType="solid">
        <fgColor rgb="002E4053"/>
        <bgColor rgb="002E4053"/>
      </patternFill>
    </fill>
    <fill>
      <patternFill patternType="solid">
        <fgColor rgb="00EAECEE"/>
        <bgColor rgb="00EAECEE"/>
      </patternFill>
    </fill>
    <fill>
      <patternFill patternType="solid">
        <fgColor rgb="00D6DBDF"/>
        <bgColor rgb="00D6DBDF"/>
      </patternFill>
    </fill>
    <fill>
      <patternFill patternType="solid">
        <fgColor rgb="0034495E"/>
        <bgColor rgb="0034495E"/>
      </patternFill>
    </fill>
    <fill>
      <patternFill patternType="solid">
        <fgColor rgb="004A6572"/>
        <bgColor rgb="004A6572"/>
      </patternFill>
    </fill>
    <fill>
      <patternFill patternType="solid">
        <fgColor rgb="00ECEFF1"/>
        <bgColor rgb="00ECEFF1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9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9" customWidth="1" min="3" max="3"/>
    <col width="20" customWidth="1" min="4" max="4"/>
    <col width="52" customWidth="1" min="5" max="5"/>
  </cols>
  <sheetData>
    <row r="1"/>
    <row r="2" ht="30" customHeight="1">
      <c r="B2" s="1" t="inlineStr">
        <is>
          <t xml:space="preserve">  CAPSTONE EXECUTIVE SUMMARY</t>
        </is>
      </c>
    </row>
    <row r="3" ht="20" customHeight="1">
      <c r="B3" s="2" t="inlineStr">
        <is>
          <t xml:space="preserve">  High-level aggregated leadership report connected to Transaction Master.</t>
        </is>
      </c>
    </row>
    <row r="4"/>
    <row r="5" ht="24" customHeight="1">
      <c r="B5" s="3" t="inlineStr">
        <is>
          <t>Company Metric</t>
        </is>
      </c>
      <c r="C5" s="3" t="inlineStr">
        <is>
          <t>Value</t>
        </is>
      </c>
      <c r="D5" s="3" t="inlineStr">
        <is>
          <t>Benchmark Target</t>
        </is>
      </c>
      <c r="E5" s="3" t="inlineStr">
        <is>
          <t>Status</t>
        </is>
      </c>
    </row>
    <row r="6" ht="19" customHeight="1">
      <c r="B6" s="4" t="inlineStr">
        <is>
          <t>Total Sales Revenue ($)</t>
        </is>
      </c>
      <c r="C6" s="4">
        <f>'Transaction Master'!H14</f>
        <v/>
      </c>
      <c r="D6" s="5" t="n">
        <v>50000</v>
      </c>
      <c r="E6" s="4">
        <f>IF(C6&gt;=D6,"Target Exceeded","Needs Attention")</f>
        <v/>
      </c>
    </row>
    <row r="7" ht="19" customHeight="1">
      <c r="B7" s="6" t="inlineStr">
        <is>
          <t>Total Cost of Goods ($)</t>
        </is>
      </c>
      <c r="C7" s="6">
        <f>'Transaction Master'!I14</f>
        <v/>
      </c>
      <c r="D7" s="7" t="n">
        <v>25000</v>
      </c>
      <c r="E7" s="6">
        <f>IF(C7&lt;=D7,"Cost Controlled","Over Budget")</f>
        <v/>
      </c>
    </row>
    <row r="8" ht="19" customHeight="1">
      <c r="B8" s="4" t="inlineStr">
        <is>
          <t>Net Operating Margin ($)</t>
        </is>
      </c>
      <c r="C8" s="4">
        <f>'Transaction Master'!J14</f>
        <v/>
      </c>
      <c r="D8" s="5" t="n">
        <v>25000</v>
      </c>
      <c r="E8" s="4">
        <f>IF(C8&gt;=D8,"Target Exceeded","Needs Attention")</f>
        <v/>
      </c>
    </row>
    <row r="9" ht="19" customHeight="1">
      <c r="B9" s="6" t="inlineStr">
        <is>
          <t>Blended Gross Margin %</t>
        </is>
      </c>
      <c r="C9" s="6">
        <f>C8/C6</f>
        <v/>
      </c>
      <c r="D9" s="7" t="n">
        <v>0.5</v>
      </c>
      <c r="E9" s="6">
        <f>IF(C9&gt;=D9,"Healthy Margin","Compressed Margin")</f>
        <v/>
      </c>
    </row>
    <row r="10" ht="19" customHeight="1">
      <c r="B10" s="4" t="inlineStr">
        <is>
          <t>Total Units Sold (#)</t>
        </is>
      </c>
      <c r="C10" s="4">
        <f>'Transaction Master'!E14</f>
        <v/>
      </c>
      <c r="D10" s="5" t="n">
        <v>150</v>
      </c>
      <c r="E10" s="4">
        <f>IF(C10&gt;=D10,"Volume Met","Volume Short")</f>
        <v/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20" customWidth="1" min="3" max="3"/>
    <col width="14" customWidth="1" min="4" max="4"/>
    <col width="16" customWidth="1" min="5" max="5"/>
    <col width="54" customWidth="1" min="6" max="6"/>
    <col width="20" customWidth="1" min="7" max="7"/>
    <col width="21" customWidth="1" min="8" max="8"/>
    <col width="58" customWidth="1" min="9" max="9"/>
    <col width="18" customWidth="1" min="10" max="10"/>
  </cols>
  <sheetData>
    <row r="1"/>
    <row r="2" ht="30" customHeight="1">
      <c r="B2" s="8" t="inlineStr">
        <is>
          <t xml:space="preserve">  DAY 14 CAPSTONE PROJECT: ENTERPRISE FINANCIAL MODEL</t>
        </is>
      </c>
    </row>
    <row r="3" ht="20" customHeight="1">
      <c r="B3" s="2" t="inlineStr">
        <is>
          <t xml:space="preserve">  Comprehensive pipeline combining Lookups, Formulas, Margin analysis, and KPI Summaries.</t>
        </is>
      </c>
    </row>
    <row r="4"/>
    <row r="5" ht="24" customHeight="1">
      <c r="B5" s="9" t="inlineStr">
        <is>
          <t>OrderID</t>
        </is>
      </c>
      <c r="C5" s="9" t="inlineStr">
        <is>
          <t>Customer</t>
        </is>
      </c>
      <c r="D5" s="9" t="inlineStr">
        <is>
          <t>Item SKU</t>
        </is>
      </c>
      <c r="E5" s="9" t="inlineStr">
        <is>
          <t>Units</t>
        </is>
      </c>
      <c r="F5" s="9" t="inlineStr">
        <is>
          <t>Unit List Price ($)</t>
        </is>
      </c>
      <c r="G5" s="9" t="inlineStr">
        <is>
          <t>Discount Applied</t>
        </is>
      </c>
      <c r="H5" s="9" t="inlineStr">
        <is>
          <t>Final Revenue ($)</t>
        </is>
      </c>
      <c r="I5" s="9" t="inlineStr">
        <is>
          <t>COGS ($)</t>
        </is>
      </c>
      <c r="J5" s="9" t="inlineStr">
        <is>
          <t>Net Margin ($)</t>
        </is>
      </c>
    </row>
    <row r="6" ht="19" customHeight="1">
      <c r="B6" s="4" t="inlineStr">
        <is>
          <t>ORD-901</t>
        </is>
      </c>
      <c r="C6" s="4" t="inlineStr">
        <is>
          <t>Acme Corp</t>
        </is>
      </c>
      <c r="D6" s="4" t="inlineStr">
        <is>
          <t>SKU-PRO-01</t>
        </is>
      </c>
      <c r="E6" s="5" t="n">
        <v>15</v>
      </c>
      <c r="F6" s="4">
        <f>VLOOKUP(D6,'Product Catalog'!$B$6:$D$10,2,FALSE)</f>
        <v/>
      </c>
      <c r="G6" s="5" t="n">
        <v>0.1</v>
      </c>
      <c r="H6" s="4">
        <f>E6*F6*(1-G6)</f>
        <v/>
      </c>
      <c r="I6" s="4">
        <f>E6*VLOOKUP(D6,'Product Catalog'!$B$6:$D$10,3,FALSE)</f>
        <v/>
      </c>
      <c r="J6" s="4">
        <f>H6-I6</f>
        <v/>
      </c>
    </row>
    <row r="7" ht="19" customHeight="1">
      <c r="B7" s="10" t="inlineStr">
        <is>
          <t>ORD-902</t>
        </is>
      </c>
      <c r="C7" s="10" t="inlineStr">
        <is>
          <t>Globex LLC</t>
        </is>
      </c>
      <c r="D7" s="10" t="inlineStr">
        <is>
          <t>SKU-PRO-03</t>
        </is>
      </c>
      <c r="E7" s="11" t="n">
        <v>24</v>
      </c>
      <c r="F7" s="10">
        <f>VLOOKUP(D7,'Product Catalog'!$B$6:$D$10,2,FALSE)</f>
        <v/>
      </c>
      <c r="G7" s="11" t="n">
        <v>0.15</v>
      </c>
      <c r="H7" s="10">
        <f>E7*F7*(1-G7)</f>
        <v/>
      </c>
      <c r="I7" s="10">
        <f>E7*VLOOKUP(D7,'Product Catalog'!$B$6:$D$10,3,FALSE)</f>
        <v/>
      </c>
      <c r="J7" s="10">
        <f>H7-I7</f>
        <v/>
      </c>
    </row>
    <row r="8" ht="19" customHeight="1">
      <c r="B8" s="4" t="inlineStr">
        <is>
          <t>ORD-903</t>
        </is>
      </c>
      <c r="C8" s="4" t="inlineStr">
        <is>
          <t>Soylent Inc</t>
        </is>
      </c>
      <c r="D8" s="4" t="inlineStr">
        <is>
          <t>SKU-PRO-02</t>
        </is>
      </c>
      <c r="E8" s="5" t="n">
        <v>8</v>
      </c>
      <c r="F8" s="4">
        <f>VLOOKUP(D8,'Product Catalog'!$B$6:$D$10,2,FALSE)</f>
        <v/>
      </c>
      <c r="G8" s="5" t="n">
        <v>0.05</v>
      </c>
      <c r="H8" s="4">
        <f>E8*F8*(1-G8)</f>
        <v/>
      </c>
      <c r="I8" s="4">
        <f>E8*VLOOKUP(D8,'Product Catalog'!$B$6:$D$10,3,FALSE)</f>
        <v/>
      </c>
      <c r="J8" s="4">
        <f>H8-I8</f>
        <v/>
      </c>
    </row>
    <row r="9" ht="19" customHeight="1">
      <c r="B9" s="10" t="inlineStr">
        <is>
          <t>ORD-904</t>
        </is>
      </c>
      <c r="C9" s="10" t="inlineStr">
        <is>
          <t>Initech LLC</t>
        </is>
      </c>
      <c r="D9" s="10" t="inlineStr">
        <is>
          <t>SKU-PRO-05</t>
        </is>
      </c>
      <c r="E9" s="11" t="n">
        <v>30</v>
      </c>
      <c r="F9" s="10">
        <f>VLOOKUP(D9,'Product Catalog'!$B$6:$D$10,2,FALSE)</f>
        <v/>
      </c>
      <c r="G9" s="11" t="n">
        <v>0.2</v>
      </c>
      <c r="H9" s="10">
        <f>E9*F9*(1-G9)</f>
        <v/>
      </c>
      <c r="I9" s="10">
        <f>E9*VLOOKUP(D9,'Product Catalog'!$B$6:$D$10,3,FALSE)</f>
        <v/>
      </c>
      <c r="J9" s="10">
        <f>H9-I9</f>
        <v/>
      </c>
    </row>
    <row r="10" ht="19" customHeight="1">
      <c r="B10" s="4" t="inlineStr">
        <is>
          <t>ORD-905</t>
        </is>
      </c>
      <c r="C10" s="4" t="inlineStr">
        <is>
          <t>Umbrella Corp</t>
        </is>
      </c>
      <c r="D10" s="4" t="inlineStr">
        <is>
          <t>SKU-PRO-04</t>
        </is>
      </c>
      <c r="E10" s="5" t="n">
        <v>12</v>
      </c>
      <c r="F10" s="4">
        <f>VLOOKUP(D10,'Product Catalog'!$B$6:$D$10,2,FALSE)</f>
        <v/>
      </c>
      <c r="G10" s="5" t="n">
        <v>0</v>
      </c>
      <c r="H10" s="4">
        <f>E10*F10*(1-G10)</f>
        <v/>
      </c>
      <c r="I10" s="4">
        <f>E10*VLOOKUP(D10,'Product Catalog'!$B$6:$D$10,3,FALSE)</f>
        <v/>
      </c>
      <c r="J10" s="4">
        <f>H10-I10</f>
        <v/>
      </c>
    </row>
    <row r="11" ht="19" customHeight="1">
      <c r="B11" s="10" t="inlineStr">
        <is>
          <t>ORD-906</t>
        </is>
      </c>
      <c r="C11" s="10" t="inlineStr">
        <is>
          <t>Acme Corp</t>
        </is>
      </c>
      <c r="D11" s="10" t="inlineStr">
        <is>
          <t>SKU-PRO-02</t>
        </is>
      </c>
      <c r="E11" s="11" t="n">
        <v>18</v>
      </c>
      <c r="F11" s="10">
        <f>VLOOKUP(D11,'Product Catalog'!$B$6:$D$10,2,FALSE)</f>
        <v/>
      </c>
      <c r="G11" s="11" t="n">
        <v>0.1</v>
      </c>
      <c r="H11" s="10">
        <f>E11*F11*(1-G11)</f>
        <v/>
      </c>
      <c r="I11" s="10">
        <f>E11*VLOOKUP(D11,'Product Catalog'!$B$6:$D$10,3,FALSE)</f>
        <v/>
      </c>
      <c r="J11" s="10">
        <f>H11-I11</f>
        <v/>
      </c>
    </row>
    <row r="12" ht="19" customHeight="1">
      <c r="B12" s="4" t="inlineStr">
        <is>
          <t>ORD-907</t>
        </is>
      </c>
      <c r="C12" s="4" t="inlineStr">
        <is>
          <t>Massive Dynamic</t>
        </is>
      </c>
      <c r="D12" s="4" t="inlineStr">
        <is>
          <t>SKU-PRO-01</t>
        </is>
      </c>
      <c r="E12" s="5" t="n">
        <v>22</v>
      </c>
      <c r="F12" s="4">
        <f>VLOOKUP(D12,'Product Catalog'!$B$6:$D$10,2,FALSE)</f>
        <v/>
      </c>
      <c r="G12" s="5" t="n">
        <v>0.12</v>
      </c>
      <c r="H12" s="4">
        <f>E12*F12*(1-G12)</f>
        <v/>
      </c>
      <c r="I12" s="4">
        <f>E12*VLOOKUP(D12,'Product Catalog'!$B$6:$D$10,3,FALSE)</f>
        <v/>
      </c>
      <c r="J12" s="4">
        <f>H12-I12</f>
        <v/>
      </c>
    </row>
    <row r="13" ht="19" customHeight="1">
      <c r="B13" s="10" t="inlineStr">
        <is>
          <t>ORD-908</t>
        </is>
      </c>
      <c r="C13" s="10" t="inlineStr">
        <is>
          <t>Stark Industries</t>
        </is>
      </c>
      <c r="D13" s="10" t="inlineStr">
        <is>
          <t>SKU-PRO-05</t>
        </is>
      </c>
      <c r="E13" s="11" t="n">
        <v>45</v>
      </c>
      <c r="F13" s="10">
        <f>VLOOKUP(D13,'Product Catalog'!$B$6:$D$10,2,FALSE)</f>
        <v/>
      </c>
      <c r="G13" s="11" t="n">
        <v>0.25</v>
      </c>
      <c r="H13" s="10">
        <f>E13*F13*(1-G13)</f>
        <v/>
      </c>
      <c r="I13" s="10">
        <f>E13*VLOOKUP(D13,'Product Catalog'!$B$6:$D$10,3,FALSE)</f>
        <v/>
      </c>
      <c r="J13" s="10">
        <f>H13-I13</f>
        <v/>
      </c>
    </row>
    <row r="14" ht="22" customHeight="1">
      <c r="B14" s="12" t="inlineStr">
        <is>
          <t>Portfolio Total</t>
        </is>
      </c>
      <c r="C14" s="12" t="inlineStr"/>
      <c r="D14" s="12" t="inlineStr"/>
      <c r="E14" s="13">
        <f>SUM(E6:E13)</f>
        <v/>
      </c>
      <c r="F14" s="12" t="inlineStr"/>
      <c r="G14" s="12" t="inlineStr"/>
      <c r="H14" s="13">
        <f>SUM(H6:H13)</f>
        <v/>
      </c>
      <c r="I14" s="13">
        <f>SUM(I6:I13)</f>
        <v/>
      </c>
      <c r="J14" s="13">
        <f>SUM(J6:J13)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23" customWidth="1" min="4" max="4"/>
    <col width="17" customWidth="1" min="5" max="5"/>
    <col width="19" customWidth="1" min="6" max="6"/>
  </cols>
  <sheetData>
    <row r="1"/>
    <row r="2" ht="30" customHeight="1">
      <c r="B2" s="14" t="inlineStr">
        <is>
          <t xml:space="preserve">  PRODUCT MASTER CATALOG</t>
        </is>
      </c>
    </row>
    <row r="3" ht="20" customHeight="1">
      <c r="B3" s="2" t="inlineStr">
        <is>
          <t xml:space="preserve">  Reference table for pricing, unit costs, and baseline markup.</t>
        </is>
      </c>
    </row>
    <row r="4"/>
    <row r="5" ht="24" customHeight="1">
      <c r="B5" s="15" t="inlineStr">
        <is>
          <t>SKU Code</t>
        </is>
      </c>
      <c r="C5" s="15" t="inlineStr">
        <is>
          <t>Item Name</t>
        </is>
      </c>
      <c r="D5" s="15" t="inlineStr">
        <is>
          <t>Unit List Price ($)</t>
        </is>
      </c>
      <c r="E5" s="15" t="inlineStr">
        <is>
          <t>Unit Cost ($)</t>
        </is>
      </c>
      <c r="F5" s="15" t="inlineStr">
        <is>
          <t>Target Margin %</t>
        </is>
      </c>
    </row>
    <row r="6" ht="19" customHeight="1">
      <c r="B6" s="4" t="inlineStr">
        <is>
          <t>SKU-PRO-01</t>
        </is>
      </c>
      <c r="C6" s="4" t="inlineStr">
        <is>
          <t>Enterprise Cloud Gateway</t>
        </is>
      </c>
      <c r="D6" s="5" t="n">
        <v>250</v>
      </c>
      <c r="E6" s="5" t="n">
        <v>110</v>
      </c>
      <c r="F6" s="4">
        <f>(C6-D6)/C6</f>
        <v/>
      </c>
    </row>
    <row r="7" ht="19" customHeight="1">
      <c r="B7" s="16" t="inlineStr">
        <is>
          <t>SKU-PRO-02</t>
        </is>
      </c>
      <c r="C7" s="16" t="inlineStr">
        <is>
          <t>Hardware Security Module</t>
        </is>
      </c>
      <c r="D7" s="17" t="n">
        <v>480</v>
      </c>
      <c r="E7" s="17" t="n">
        <v>220</v>
      </c>
      <c r="F7" s="16">
        <f>(C7-D7)/C7</f>
        <v/>
      </c>
    </row>
    <row r="8" ht="19" customHeight="1">
      <c r="B8" s="4" t="inlineStr">
        <is>
          <t>SKU-PRO-03</t>
        </is>
      </c>
      <c r="C8" s="4" t="inlineStr">
        <is>
          <t>Managed Analytics Agent</t>
        </is>
      </c>
      <c r="D8" s="5" t="n">
        <v>150</v>
      </c>
      <c r="E8" s="5" t="n">
        <v>45</v>
      </c>
      <c r="F8" s="4">
        <f>(C8-D8)/C8</f>
        <v/>
      </c>
    </row>
    <row r="9" ht="19" customHeight="1">
      <c r="B9" s="16" t="inlineStr">
        <is>
          <t>SKU-PRO-04</t>
        </is>
      </c>
      <c r="C9" s="16" t="inlineStr">
        <is>
          <t>AI Inference Appliance</t>
        </is>
      </c>
      <c r="D9" s="17" t="n">
        <v>890</v>
      </c>
      <c r="E9" s="17" t="n">
        <v>490</v>
      </c>
      <c r="F9" s="16">
        <f>(C9-D9)/C9</f>
        <v/>
      </c>
    </row>
    <row r="10" ht="19" customHeight="1">
      <c r="B10" s="4" t="inlineStr">
        <is>
          <t>SKU-PRO-05</t>
        </is>
      </c>
      <c r="C10" s="4" t="inlineStr">
        <is>
          <t>Network Monitoring Probe</t>
        </is>
      </c>
      <c r="D10" s="5" t="n">
        <v>95</v>
      </c>
      <c r="E10" s="5" t="n">
        <v>32</v>
      </c>
      <c r="F10" s="4">
        <f>(C10-D10)/C10</f>
        <v/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